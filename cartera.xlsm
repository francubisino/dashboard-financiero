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1"/>
  <bookViews>
    <workbookView visibility="visible" minimized="0" showHorizontalScroll="1" showVerticalScroll="1" showSheetTabs="1" xWindow="0" yWindow="0" windowWidth="16380" windowHeight="8190" tabRatio="500" firstSheet="0" activeTab="0" autoFilterDateGrouping="1"/>
  </bookViews>
  <sheets>
    <sheet xmlns:r="http://schemas.openxmlformats.org/officeDocument/2006/relationships" name="Cartera Cedears" sheetId="1" state="visible" r:id="rId1"/>
    <sheet xmlns:r="http://schemas.openxmlformats.org/officeDocument/2006/relationships" name="Precios" sheetId="2" state="hidden" r:id="rId2"/>
    <sheet xmlns:r="http://schemas.openxmlformats.org/officeDocument/2006/relationships" name="Fundamentals" sheetId="3" state="hidden" r:id="rId3"/>
    <sheet xmlns:r="http://schemas.openxmlformats.org/officeDocument/2006/relationships" name="Gastos" sheetId="4" state="hidden" r:id="rId4"/>
    <sheet xmlns:r="http://schemas.openxmlformats.org/officeDocument/2006/relationships" name="Ahorro" sheetId="5" state="hidden" r:id="rId5"/>
    <sheet xmlns:r="http://schemas.openxmlformats.org/officeDocument/2006/relationships" name="Calendario" sheetId="6" state="hidden" r:id="rId6"/>
    <sheet xmlns:r="http://schemas.openxmlformats.org/officeDocument/2006/relationships" name="Betas" sheetId="7" state="hidden" r:id="rId7"/>
  </sheets>
  <definedNames>
    <definedName name="_xlnm._FilterDatabase" localSheetId="0" hidden="1">'Cartera Cedears'!$A$1:$XEZ$1</definedName>
    <definedName name="precios_actuales" localSheetId="1">Precios!$A$1:$C$128</definedName>
    <definedName name="beta_calculado" localSheetId="6">Betas!$A$1:$D$83</definedName>
    <definedName name="_xlnm._FilterDatabase" localSheetId="6" hidden="1">'Betas'!$A$1:$D$83</definedName>
  </definedNames>
  <calcPr calcId="162913" fullCalcOnLoad="1" iterateDelta="0.0001"/>
</workbook>
</file>

<file path=xl/styles.xml><?xml version="1.0" encoding="utf-8"?>
<styleSheet xmlns="http://schemas.openxmlformats.org/spreadsheetml/2006/main">
  <numFmts count="9">
    <numFmt numFmtId="164" formatCode="dd\-mmm"/>
    <numFmt numFmtId="165" formatCode="_-* #,##0\ _€_-;\-* #,##0\ _€_-;_-* \-??\ _€_-;_-@_-"/>
    <numFmt numFmtId="166" formatCode="0.00\ %"/>
    <numFmt numFmtId="167" formatCode="_-&quot;$ &quot;* #,##0.00_-;&quot;-$ &quot;* #,##0.00_-;_-&quot;$ &quot;* \-??_-;_-@_-"/>
    <numFmt numFmtId="168" formatCode="[$$-2C0A]#,##0.00;[Red]\([$$-2C0A]#,##0.00\)"/>
    <numFmt numFmtId="169" formatCode="dd/mm/yyyy"/>
    <numFmt numFmtId="170" formatCode="_-* #,##0.00\ _€_-;\-* #,##0.00\ _€_-;_-* \-??\ _€_-;_-@_-"/>
    <numFmt numFmtId="171" formatCode="_-* #,##0.00_-;\-* #,##0.00_-;_-* \-??_-;_-@_-"/>
    <numFmt numFmtId="172" formatCode="_ * #,##0.00_ ;_ * \-#,##0.00_ ;_ * \-??_ ;_ @_ "/>
  </numFmts>
  <fonts count="13">
    <font>
      <name val="Calibri"/>
      <charset val="1"/>
      <family val="2"/>
      <color rgb="FF000000"/>
      <sz val="11"/>
    </font>
    <font>
      <name val="Arial"/>
      <charset val="1"/>
      <family val="2"/>
      <sz val="10"/>
    </font>
    <font>
      <name val="Calibri"/>
      <charset val="1"/>
      <family val="2"/>
      <b val="1"/>
      <sz val="11"/>
    </font>
    <font>
      <name val="Arial"/>
      <charset val="1"/>
      <family val="2"/>
      <color rgb="FF000000"/>
      <sz val="12"/>
    </font>
    <font>
      <name val="Calibri"/>
      <charset val="1"/>
      <family val="2"/>
      <b val="1"/>
      <color rgb="FF000000"/>
      <sz val="12"/>
    </font>
    <font>
      <name val="Arial"/>
      <charset val="1"/>
      <family val="2"/>
      <b val="1"/>
      <color rgb="FF000000"/>
      <sz val="12"/>
    </font>
    <font>
      <name val="Calibri"/>
      <charset val="1"/>
      <family val="2"/>
      <sz val="12"/>
    </font>
    <font>
      <name val="Calibri"/>
      <charset val="1"/>
      <family val="2"/>
      <b val="1"/>
      <color rgb="FF000000"/>
      <sz val="11"/>
    </font>
    <font>
      <name val="Calibri"/>
      <charset val="1"/>
      <family val="2"/>
      <color rgb="FFC9211E"/>
      <sz val="11"/>
    </font>
    <font>
      <name val="Calibri"/>
      <charset val="1"/>
      <family val="2"/>
      <sz val="11"/>
    </font>
    <font>
      <name val="Calibri"/>
      <charset val="1"/>
      <family val="2"/>
      <b val="1"/>
      <sz val="12"/>
    </font>
    <font>
      <name val="Arial"/>
      <charset val="1"/>
      <family val="2"/>
      <b val="1"/>
      <color rgb="FF000000"/>
      <sz val="11"/>
    </font>
    <font>
      <name val="Calibri"/>
      <charset val="1"/>
      <family val="2"/>
      <color rgb="FF000000"/>
      <sz val="11"/>
    </font>
  </fonts>
  <fills count="6">
    <fill>
      <patternFill/>
    </fill>
    <fill>
      <patternFill patternType="gray125"/>
    </fill>
    <fill>
      <patternFill patternType="solid">
        <fgColor rgb="FFB4C8E1"/>
        <bgColor rgb="FFB4C7DC"/>
      </patternFill>
    </fill>
    <fill>
      <patternFill patternType="solid">
        <fgColor rgb="FFFFFF00"/>
        <bgColor rgb="FFFFFF00"/>
      </patternFill>
    </fill>
    <fill>
      <patternFill patternType="solid">
        <fgColor rgb="FFB4C7DC"/>
        <bgColor rgb="FFB4C8E1"/>
      </patternFill>
    </fill>
    <fill>
      <patternFill patternType="solid">
        <fgColor rgb="FFE8F2A1"/>
        <bgColor rgb="FFFFFFCC"/>
      </patternFill>
    </fill>
  </fills>
  <borders count="2">
    <border>
      <left/>
      <right/>
      <top/>
      <bottom/>
      <diagonal/>
    </border>
    <border>
      <left style="thin">
        <color auto="1"/>
      </left>
      <right style="thin">
        <color auto="1"/>
      </right>
      <top style="thin">
        <color auto="1"/>
      </top>
      <bottom style="thin">
        <color auto="1"/>
      </bottom>
      <diagonal/>
    </border>
  </borders>
  <cellStyleXfs count="10">
    <xf numFmtId="0" fontId="12" fillId="0" borderId="0"/>
    <xf numFmtId="0" fontId="12" fillId="0" borderId="0"/>
    <xf numFmtId="0" fontId="12" fillId="0" borderId="0" applyAlignment="1">
      <alignment horizontal="left"/>
    </xf>
    <xf numFmtId="0" fontId="12" fillId="0" borderId="0"/>
    <xf numFmtId="172" fontId="12" fillId="0" borderId="0"/>
    <xf numFmtId="0" fontId="1" fillId="0" borderId="0"/>
    <xf numFmtId="0" fontId="1" fillId="0" borderId="0"/>
    <xf numFmtId="0" fontId="2" fillId="0" borderId="0"/>
    <xf numFmtId="0" fontId="2" fillId="0" borderId="0" applyAlignment="1">
      <alignment horizontal="left"/>
    </xf>
    <xf numFmtId="0" fontId="12" fillId="0" borderId="0"/>
  </cellStyleXfs>
  <cellXfs count="57">
    <xf numFmtId="0" fontId="0" fillId="0" borderId="0" pivotButton="0" quotePrefix="0" xfId="0"/>
    <xf numFmtId="0" fontId="3" fillId="0" borderId="0" pivotButton="0" quotePrefix="0" xfId="0"/>
    <xf numFmtId="0" fontId="4" fillId="0" borderId="0" pivotButton="0" quotePrefix="0" xfId="0"/>
    <xf numFmtId="0" fontId="5" fillId="0" borderId="0" pivotButton="0" quotePrefix="0" xfId="0"/>
    <xf numFmtId="164" fontId="3" fillId="0" borderId="0" pivotButton="0" quotePrefix="0" xfId="0"/>
    <xf numFmtId="0" fontId="6" fillId="0" borderId="0" pivotButton="0" quotePrefix="0" xfId="0"/>
    <xf numFmtId="0" fontId="7" fillId="0" borderId="0" applyAlignment="1" pivotButton="0" quotePrefix="0" xfId="0">
      <alignment horizontal="center" wrapText="1"/>
    </xf>
    <xf numFmtId="0" fontId="0" fillId="0" borderId="0" applyAlignment="1" pivotButton="0" quotePrefix="0" xfId="0">
      <alignment wrapText="1"/>
    </xf>
    <xf numFmtId="0" fontId="3" fillId="2" borderId="0" pivotButton="0" quotePrefix="0" xfId="0"/>
    <xf numFmtId="0" fontId="7" fillId="0" borderId="0" pivotButton="0" quotePrefix="0" xfId="0"/>
    <xf numFmtId="3" fontId="0" fillId="0" borderId="0" pivotButton="0" quotePrefix="0" xfId="0"/>
    <xf numFmtId="0" fontId="8" fillId="0" borderId="0" pivotButton="0" quotePrefix="0" xfId="0"/>
    <xf numFmtId="3" fontId="8" fillId="0" borderId="0" pivotButton="0" quotePrefix="0" xfId="0"/>
    <xf numFmtId="0" fontId="9" fillId="0" borderId="0" pivotButton="0" quotePrefix="0" xfId="0"/>
    <xf numFmtId="3" fontId="9" fillId="0" borderId="0" pivotButton="0" quotePrefix="0" xfId="0"/>
    <xf numFmtId="3" fontId="9" fillId="3" borderId="0" pivotButton="0" quotePrefix="0" xfId="0"/>
    <xf numFmtId="0" fontId="7" fillId="4" borderId="0" pivotButton="0" quotePrefix="0" xfId="0"/>
    <xf numFmtId="3" fontId="7" fillId="4" borderId="0" pivotButton="0" quotePrefix="0" xfId="0"/>
    <xf numFmtId="4" fontId="0" fillId="0" borderId="0" pivotButton="0" quotePrefix="0" xfId="0"/>
    <xf numFmtId="0" fontId="0" fillId="5" borderId="0" pivotButton="0" quotePrefix="0" xfId="0"/>
    <xf numFmtId="3" fontId="0" fillId="5" borderId="0" pivotButton="0" quotePrefix="0" xfId="0"/>
    <xf numFmtId="4" fontId="0" fillId="5" borderId="0" pivotButton="0" quotePrefix="0" xfId="0"/>
    <xf numFmtId="0" fontId="0" fillId="3" borderId="0" pivotButton="0" quotePrefix="0" xfId="0"/>
    <xf numFmtId="164" fontId="0" fillId="0" borderId="0" pivotButton="0" quotePrefix="0" xfId="0"/>
    <xf numFmtId="164" fontId="0" fillId="3" borderId="0" pivotButton="0" quotePrefix="0" xfId="0"/>
    <xf numFmtId="0" fontId="7" fillId="0" borderId="0" applyAlignment="1" pivotButton="0" quotePrefix="0" xfId="0">
      <alignment wrapText="1"/>
    </xf>
    <xf numFmtId="0" fontId="0" fillId="3" borderId="0" applyAlignment="1" pivotButton="0" quotePrefix="0" xfId="0">
      <alignment wrapText="1"/>
    </xf>
    <xf numFmtId="0" fontId="10" fillId="0" borderId="1" pivotButton="0" quotePrefix="0" xfId="0"/>
    <xf numFmtId="0" fontId="10" fillId="0" borderId="1" applyAlignment="1" pivotButton="0" quotePrefix="0" xfId="0">
      <alignment wrapText="1"/>
    </xf>
    <xf numFmtId="0" fontId="7" fillId="0" borderId="1" pivotButton="0" quotePrefix="0" xfId="0"/>
    <xf numFmtId="0" fontId="0" fillId="0" borderId="1" applyAlignment="1" pivotButton="0" quotePrefix="0" xfId="0">
      <alignment wrapText="1"/>
    </xf>
    <xf numFmtId="0" fontId="11" fillId="0" borderId="0" applyAlignment="1" pivotButton="0" quotePrefix="0" xfId="0">
      <alignment horizontal="left"/>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xf numFmtId="0" fontId="7" fillId="0" borderId="0" applyAlignment="1" pivotButton="0" quotePrefix="0" xfId="0">
      <alignment horizontal="center"/>
    </xf>
    <xf numFmtId="0" fontId="0" fillId="0" borderId="0" pivotButton="0" quotePrefix="0" xfId="0"/>
    <xf numFmtId="165" fontId="0" fillId="0" borderId="0" pivotButton="0" quotePrefix="0" xfId="0"/>
    <xf numFmtId="166" fontId="0" fillId="0" borderId="0" pivotButton="0" quotePrefix="0" xfId="0"/>
    <xf numFmtId="167" fontId="0" fillId="0" borderId="0" pivotButton="0" quotePrefix="0" xfId="0"/>
    <xf numFmtId="166" fontId="0" fillId="5" borderId="0" pivotButton="0" quotePrefix="0" xfId="0"/>
    <xf numFmtId="168" fontId="0" fillId="0" borderId="0" pivotButton="0" quotePrefix="0" xfId="0"/>
    <xf numFmtId="167" fontId="0" fillId="3" borderId="0" pivotButton="0" quotePrefix="0" xfId="0"/>
    <xf numFmtId="167" fontId="7" fillId="0" borderId="0" pivotButton="0" quotePrefix="0" xfId="0"/>
    <xf numFmtId="169" fontId="0" fillId="0" borderId="0" pivotButton="0" quotePrefix="0" xfId="0"/>
    <xf numFmtId="169" fontId="0" fillId="3" borderId="0" pivotButton="0" quotePrefix="0" xfId="0"/>
    <xf numFmtId="170" fontId="0" fillId="0" borderId="0" pivotButton="0" quotePrefix="0" xfId="0"/>
    <xf numFmtId="171" fontId="0" fillId="0" borderId="0" pivotButton="0" quotePrefix="0" xfId="0"/>
  </cellXfs>
  <cellStyles count="10">
    <cellStyle name="Normal" xfId="0" builtinId="0"/>
    <cellStyle name="Campo de la tabla dinámica" xfId="1"/>
    <cellStyle name="Categoría de la tabla dinámica" xfId="2"/>
    <cellStyle name="Esquina de la tabla dinámica" xfId="3"/>
    <cellStyle name="Millares 2" xfId="4"/>
    <cellStyle name="Normal 3 2" xfId="5"/>
    <cellStyle name="Normal 4" xfId="6"/>
    <cellStyle name="Resultado de la tabla dinámica" xfId="7"/>
    <cellStyle name="Título de la tabla dinámica" xfId="8"/>
    <cellStyle name="Valor de la tabla dinámica" xfId="9"/>
  </cellStyle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4C7DC"/>
      <rgbColor rgb="FF808080"/>
      <rgbColor rgb="FF9999FF"/>
      <rgbColor rgb="FF993366"/>
      <rgbColor rgb="FFFFFFCC"/>
      <rgbColor rgb="FFCCFFFF"/>
      <rgbColor rgb="FF660066"/>
      <rgbColor rgb="FFFF8080"/>
      <rgbColor rgb="FF0066CC"/>
      <rgbColor rgb="FFB4C8E1"/>
      <rgbColor rgb="FF000080"/>
      <rgbColor rgb="FFFF00FF"/>
      <rgbColor rgb="FFFFFF00"/>
      <rgbColor rgb="FF00FFFF"/>
      <rgbColor rgb="FF800080"/>
      <rgbColor rgb="FF800000"/>
      <rgbColor rgb="FF008080"/>
      <rgbColor rgb="FF0000FF"/>
      <rgbColor rgb="FF00CCFF"/>
      <rgbColor rgb="FFCCFFFF"/>
      <rgbColor rgb="FFCCFFCC"/>
      <rgbColor rgb="FFE8F2A1"/>
      <rgbColor rgb="FF99CCFF"/>
      <rgbColor rgb="FFFF99CC"/>
      <rgbColor rgb="FFCC99FF"/>
      <rgbColor rgb="FFFFCC99"/>
      <rgbColor rgb="FF3366FF"/>
      <rgbColor rgb="FF33CCCC"/>
      <rgbColor rgb="FF99CC00"/>
      <rgbColor rgb="FFFFCC00"/>
      <rgbColor rgb="FFFF9900"/>
      <rgbColor rgb="FFFF6600"/>
      <rgbColor rgb="FF558ED5"/>
      <rgbColor rgb="FF969696"/>
      <rgbColor rgb="FF003366"/>
      <rgbColor rgb="FF339966"/>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heme/theme1.xml><?xml version="1.0" encoding="utf-8"?>
<a:theme xmlns:a="http://schemas.openxmlformats.org/drawingml/2006/main" name="Tema de Offic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tabColor rgb="FF558ED5"/>
    <outlinePr summaryBelow="1" summaryRight="1"/>
    <pageSetUpPr/>
  </sheetPr>
  <dimension ref="A1:D17"/>
  <sheetViews>
    <sheetView showGridLines="0" tabSelected="1" zoomScale="75" zoomScaleNormal="75" workbookViewId="0">
      <selection activeCell="C8" sqref="C8"/>
    </sheetView>
  </sheetViews>
  <sheetFormatPr baseColWidth="10" defaultColWidth="25.7109375" defaultRowHeight="15" customHeight="1"/>
  <cols>
    <col width="23.5703125" customWidth="1" style="1" min="1" max="1"/>
    <col width="25.28515625" customWidth="1" style="1" min="2" max="2"/>
    <col width="23.42578125" customWidth="1" style="1" min="3" max="3"/>
    <col width="16.7109375" customWidth="1" style="1" min="4" max="4"/>
    <col width="13.7109375" customWidth="1" style="1" min="5" max="5"/>
    <col width="19.140625" customWidth="1" style="1" min="6" max="6"/>
    <col width="16" customWidth="1" style="1" min="7" max="8"/>
    <col width="25.7109375" customWidth="1" style="1" min="9" max="11"/>
    <col width="26.42578125" customWidth="1" style="1" min="12" max="12"/>
    <col width="42.28515625" customWidth="1" style="1" min="13" max="13"/>
    <col width="25.7109375" customWidth="1" style="1" min="18" max="16379"/>
    <col width="11.5703125" customWidth="1" style="45" min="16380" max="16380"/>
    <col width="11.5703125" customWidth="1" style="1" min="16381" max="16384"/>
  </cols>
  <sheetData>
    <row r="1" ht="15" customHeight="1" s="45">
      <c r="A1" s="2" t="inlineStr">
        <is>
          <t>Empresa</t>
        </is>
      </c>
      <c r="B1" s="3" t="inlineStr">
        <is>
          <t>Cantidad</t>
        </is>
      </c>
      <c r="D1" s="4" t="n"/>
    </row>
    <row r="2" ht="15" customHeight="1" s="45">
      <c r="A2" s="5" t="inlineStr">
        <is>
          <t>AAPL</t>
        </is>
      </c>
      <c r="B2" s="46" t="n">
        <v>187</v>
      </c>
    </row>
    <row r="3" ht="15" customHeight="1" s="45">
      <c r="A3" s="5" t="inlineStr">
        <is>
          <t>AMZN</t>
        </is>
      </c>
      <c r="B3" s="46" t="n">
        <v>3514</v>
      </c>
    </row>
    <row r="4" ht="15" customHeight="1" s="45">
      <c r="A4" s="5" t="inlineStr">
        <is>
          <t>ASML</t>
        </is>
      </c>
      <c r="B4" s="46" t="n">
        <v>100</v>
      </c>
    </row>
    <row r="5" ht="15" customHeight="1" s="45">
      <c r="A5" s="5" t="inlineStr">
        <is>
          <t>AVGO</t>
        </is>
      </c>
      <c r="B5" s="46" t="n">
        <v>116</v>
      </c>
    </row>
    <row r="6" ht="15" customHeight="1" s="45">
      <c r="A6" s="5" t="inlineStr">
        <is>
          <t>AXP</t>
        </is>
      </c>
      <c r="B6" s="46" t="n">
        <v>135</v>
      </c>
    </row>
    <row r="7" ht="15" customHeight="1" s="45">
      <c r="A7" s="5" t="inlineStr">
        <is>
          <t>CEG</t>
        </is>
      </c>
      <c r="B7" s="46" t="n">
        <v>298</v>
      </c>
    </row>
    <row r="8" ht="15" customHeight="1" s="45">
      <c r="A8" s="5" t="inlineStr">
        <is>
          <t>GOOGL</t>
        </is>
      </c>
      <c r="B8" s="46" t="n">
        <v>1932</v>
      </c>
    </row>
    <row r="9" ht="15" customHeight="1" s="45">
      <c r="A9" s="5" t="inlineStr">
        <is>
          <t>MELI</t>
        </is>
      </c>
      <c r="B9" s="46" t="n">
        <v>150</v>
      </c>
    </row>
    <row r="10" ht="15" customHeight="1" s="45">
      <c r="A10" s="5" t="inlineStr">
        <is>
          <t>MU</t>
        </is>
      </c>
      <c r="B10" s="46" t="n">
        <v>11</v>
      </c>
    </row>
    <row r="11" ht="15" customHeight="1" s="45">
      <c r="A11" s="5" t="inlineStr">
        <is>
          <t>NU</t>
        </is>
      </c>
      <c r="B11" s="46" t="n">
        <v>188</v>
      </c>
    </row>
    <row r="12" ht="15" customHeight="1" s="45">
      <c r="A12" s="5" t="inlineStr">
        <is>
          <t>NVDA</t>
        </is>
      </c>
      <c r="B12" s="46" t="n">
        <v>465</v>
      </c>
    </row>
    <row r="13" ht="15" customHeight="1" s="45">
      <c r="A13" s="5" t="inlineStr">
        <is>
          <t>TSLA</t>
        </is>
      </c>
      <c r="B13" s="46" t="n">
        <v>85</v>
      </c>
    </row>
    <row r="14" ht="15" customHeight="1" s="45">
      <c r="A14" s="5" t="inlineStr">
        <is>
          <t>TSM</t>
        </is>
      </c>
      <c r="B14" s="46" t="n">
        <v>26</v>
      </c>
    </row>
    <row r="15" ht="15" customHeight="1" s="45">
      <c r="A15" s="5" t="inlineStr">
        <is>
          <t>UBER</t>
        </is>
      </c>
      <c r="B15" s="46" t="n">
        <v>175</v>
      </c>
    </row>
    <row r="16" ht="15" customHeight="1" s="45">
      <c r="A16" s="5" t="inlineStr">
        <is>
          <t>VIST</t>
        </is>
      </c>
      <c r="B16" s="46" t="n">
        <v>59</v>
      </c>
    </row>
    <row r="17" ht="15.75" customHeight="1" s="45"/>
    <row r="18" ht="15.75" customHeight="1" s="45"/>
    <row r="19" ht="15.75" customHeight="1" s="45"/>
  </sheetData>
  <autoFilter ref="A1:XEZ1">
    <sortState ref="A2:XEZ16">
      <sortCondition ref="A1"/>
    </sortState>
  </autoFilter>
  <pageMargins left="0.7" right="0.7" top="0.75" bottom="0.75" header="0.511811023622047" footer="0.511811023622047"/>
  <pageSetup orientation="portrait" paperSize="9" horizontalDpi="300" verticalDpi="300"/>
</worksheet>
</file>

<file path=xl/worksheets/sheet2.xml><?xml version="1.0" encoding="utf-8"?>
<worksheet xmlns="http://schemas.openxmlformats.org/spreadsheetml/2006/main">
  <sheetPr>
    <outlinePr summaryBelow="1" summaryRight="1"/>
    <pageSetUpPr/>
  </sheetPr>
  <dimension ref="A1:C128"/>
  <sheetViews>
    <sheetView topLeftCell="A14" zoomScale="75" zoomScaleNormal="75" workbookViewId="0">
      <selection activeCell="B25" sqref="B25"/>
    </sheetView>
  </sheetViews>
  <sheetFormatPr baseColWidth="10" defaultColWidth="10.7109375" defaultRowHeight="15" customHeight="1"/>
  <cols>
    <col width="4" customWidth="1" style="45" min="1" max="1"/>
    <col width="7.28515625" customWidth="1" style="45" min="2" max="2"/>
    <col width="9.5703125" customWidth="1" style="45" min="3" max="3"/>
  </cols>
  <sheetData>
    <row r="1" ht="15" customHeight="1" s="45">
      <c r="B1" t="inlineStr">
        <is>
          <t>Activo</t>
        </is>
      </c>
      <c r="C1" t="inlineStr">
        <is>
          <t>Precio</t>
        </is>
      </c>
    </row>
    <row r="2" ht="15" customHeight="1" s="45">
      <c r="A2" t="n">
        <v>0</v>
      </c>
      <c r="B2" t="inlineStr">
        <is>
          <t>AAPL</t>
        </is>
      </c>
      <c r="C2" t="inlineStr">
        <is>
          <t>26840.00</t>
        </is>
      </c>
    </row>
    <row r="3" ht="15" customHeight="1" s="45">
      <c r="A3" t="n">
        <v>1</v>
      </c>
      <c r="B3" t="inlineStr">
        <is>
          <t>ABBV</t>
        </is>
      </c>
      <c r="C3" t="inlineStr">
        <is>
          <t>42360.00</t>
        </is>
      </c>
    </row>
    <row r="4" ht="15" customHeight="1" s="45">
      <c r="A4" t="n">
        <v>2</v>
      </c>
      <c r="B4" t="inlineStr">
        <is>
          <t>ABT</t>
        </is>
      </c>
      <c r="C4" t="inlineStr">
        <is>
          <t>41060.00</t>
        </is>
      </c>
    </row>
    <row r="5" ht="15" customHeight="1" s="45">
      <c r="A5" t="n">
        <v>3</v>
      </c>
      <c r="B5" t="inlineStr">
        <is>
          <t>ACN</t>
        </is>
      </c>
      <c r="C5" t="inlineStr">
        <is>
          <t>3907.50</t>
        </is>
      </c>
    </row>
    <row r="6" ht="15" customHeight="1" s="45">
      <c r="A6" t="n">
        <v>4</v>
      </c>
      <c r="B6" t="inlineStr">
        <is>
          <t>ADBE</t>
        </is>
      </c>
      <c r="C6" t="inlineStr">
        <is>
          <t>9085.00</t>
        </is>
      </c>
    </row>
    <row r="7" ht="15" customHeight="1" s="45">
      <c r="A7" t="n">
        <v>5</v>
      </c>
      <c r="B7" t="inlineStr">
        <is>
          <t>ADI</t>
        </is>
      </c>
      <c r="C7" t="inlineStr">
        <is>
          <t>39400.00</t>
        </is>
      </c>
    </row>
    <row r="8" ht="15" customHeight="1" s="45">
      <c r="A8" t="n">
        <v>6</v>
      </c>
      <c r="B8" t="inlineStr">
        <is>
          <t>ADP</t>
        </is>
      </c>
      <c r="C8" t="inlineStr">
        <is>
          <t>72350.00</t>
        </is>
      </c>
    </row>
    <row r="9" ht="15" customHeight="1" s="45">
      <c r="A9" t="n">
        <v>7</v>
      </c>
      <c r="B9" t="inlineStr">
        <is>
          <t>AMAT</t>
        </is>
      </c>
      <c r="C9" t="inlineStr">
        <is>
          <t>139200.00</t>
        </is>
      </c>
    </row>
    <row r="10" ht="15" customHeight="1" s="45">
      <c r="A10" t="n">
        <v>8</v>
      </c>
      <c r="B10" t="inlineStr">
        <is>
          <t>AMD</t>
        </is>
      </c>
      <c r="C10" t="inlineStr">
        <is>
          <t>87025.00</t>
        </is>
      </c>
    </row>
    <row r="11" ht="15" customHeight="1" s="45">
      <c r="A11" t="n">
        <v>9</v>
      </c>
      <c r="B11" t="inlineStr">
        <is>
          <t>AMGN</t>
        </is>
      </c>
      <c r="C11" t="inlineStr">
        <is>
          <t>20530.00</t>
        </is>
      </c>
    </row>
    <row r="12" ht="15" customHeight="1" s="45">
      <c r="A12" t="n">
        <v>10</v>
      </c>
      <c r="B12" t="inlineStr">
        <is>
          <t>AMZN</t>
        </is>
      </c>
      <c r="C12" t="inlineStr">
        <is>
          <t>2830.00</t>
        </is>
      </c>
    </row>
    <row r="13" ht="15" customHeight="1" s="45">
      <c r="A13" t="n">
        <v>11</v>
      </c>
      <c r="B13" t="inlineStr">
        <is>
          <t>ANET</t>
        </is>
      </c>
      <c r="C13" t="inlineStr">
        <is>
          <t>10940.00</t>
        </is>
      </c>
    </row>
    <row r="14" ht="15" customHeight="1" s="45">
      <c r="A14" t="n">
        <v>12</v>
      </c>
      <c r="B14" t="inlineStr">
        <is>
          <t>ARM</t>
        </is>
      </c>
      <c r="C14" t="inlineStr">
        <is>
          <t>15920.00</t>
        </is>
      </c>
    </row>
    <row r="15" ht="15" customHeight="1" s="45">
      <c r="A15" t="n">
        <v>13</v>
      </c>
      <c r="B15" t="inlineStr">
        <is>
          <t>ASML</t>
        </is>
      </c>
      <c r="C15" t="inlineStr">
        <is>
          <t>18080.00</t>
        </is>
      </c>
    </row>
    <row r="16" ht="15" customHeight="1" s="45">
      <c r="A16" t="n">
        <v>14</v>
      </c>
      <c r="B16" t="inlineStr">
        <is>
          <t>ASTS</t>
        </is>
      </c>
      <c r="C16" t="inlineStr">
        <is>
          <t>6230.00</t>
        </is>
      </c>
    </row>
    <row r="17" ht="15" customHeight="1" s="45">
      <c r="A17" t="n">
        <v>15</v>
      </c>
      <c r="B17" t="inlineStr">
        <is>
          <t>AVGO</t>
        </is>
      </c>
      <c r="C17" t="inlineStr">
        <is>
          <t>14540.00</t>
        </is>
      </c>
    </row>
    <row r="18" ht="15" customHeight="1" s="45">
      <c r="A18" t="n">
        <v>16</v>
      </c>
      <c r="B18" t="inlineStr">
        <is>
          <t>AXP</t>
        </is>
      </c>
      <c r="C18" t="inlineStr">
        <is>
          <t>33300.00</t>
        </is>
      </c>
    </row>
    <row r="19" ht="15" customHeight="1" s="45">
      <c r="A19" t="n">
        <v>17</v>
      </c>
      <c r="B19" t="inlineStr">
        <is>
          <t>B</t>
        </is>
      </c>
      <c r="C19" t="inlineStr">
        <is>
          <t>34720.00</t>
        </is>
      </c>
    </row>
    <row r="20" ht="15" customHeight="1" s="45">
      <c r="A20" t="n">
        <v>18</v>
      </c>
      <c r="B20" t="inlineStr">
        <is>
          <t>BA</t>
        </is>
      </c>
      <c r="C20" t="inlineStr">
        <is>
          <t>13240.00</t>
        </is>
      </c>
    </row>
    <row r="21" ht="15" customHeight="1" s="45">
      <c r="A21" t="n">
        <v>19</v>
      </c>
      <c r="B21" t="inlineStr">
        <is>
          <t>BABA</t>
        </is>
      </c>
      <c r="C21" t="inlineStr">
        <is>
          <t>20170.00</t>
        </is>
      </c>
    </row>
    <row r="22" ht="15" customHeight="1" s="45">
      <c r="A22" t="n">
        <v>20</v>
      </c>
      <c r="B22" t="inlineStr">
        <is>
          <t>BHP</t>
        </is>
      </c>
      <c r="C22" t="inlineStr">
        <is>
          <t>68725.00</t>
        </is>
      </c>
    </row>
    <row r="23" ht="15" customHeight="1" s="45">
      <c r="A23" t="n">
        <v>21</v>
      </c>
      <c r="B23" t="inlineStr">
        <is>
          <t>BMY</t>
        </is>
      </c>
      <c r="C23" t="inlineStr">
        <is>
          <t>33380.00</t>
        </is>
      </c>
    </row>
    <row r="24" ht="15" customHeight="1" s="45">
      <c r="A24" t="n">
        <v>22</v>
      </c>
      <c r="B24" t="inlineStr">
        <is>
          <t>BRK-B</t>
        </is>
      </c>
      <c r="C24" t="inlineStr">
        <is>
          <t>37220.00</t>
        </is>
      </c>
    </row>
    <row r="25" ht="15" customHeight="1" s="45">
      <c r="A25" t="n">
        <v>23</v>
      </c>
      <c r="B25" t="inlineStr">
        <is>
          <t>BX</t>
        </is>
      </c>
      <c r="C25" t="inlineStr">
        <is>
          <t>6660.00</t>
        </is>
      </c>
    </row>
    <row r="26" ht="15" customHeight="1" s="45">
      <c r="A26" t="n">
        <v>24</v>
      </c>
      <c r="B26" t="inlineStr">
        <is>
          <t>C</t>
        </is>
      </c>
      <c r="C26" t="inlineStr">
        <is>
          <t>70350.00</t>
        </is>
      </c>
    </row>
    <row r="27" ht="15" customHeight="1" s="45">
      <c r="A27" t="n">
        <v>25</v>
      </c>
      <c r="B27" t="inlineStr">
        <is>
          <t>CAT</t>
        </is>
      </c>
      <c r="C27" t="inlineStr">
        <is>
          <t>64125.00</t>
        </is>
      </c>
    </row>
    <row r="28" ht="15" customHeight="1" s="45">
      <c r="A28" t="n">
        <v>26</v>
      </c>
      <c r="B28" t="inlineStr">
        <is>
          <t>CDE</t>
        </is>
      </c>
      <c r="C28" t="inlineStr">
        <is>
          <t>31860.00</t>
        </is>
      </c>
    </row>
    <row r="29" ht="15" customHeight="1" s="45">
      <c r="A29" t="n">
        <v>27</v>
      </c>
      <c r="B29" t="inlineStr">
        <is>
          <t>CEG</t>
        </is>
      </c>
      <c r="C29" t="inlineStr">
        <is>
          <t>9155.00</t>
        </is>
      </c>
    </row>
    <row r="30" ht="15" customHeight="1" s="45">
      <c r="A30" t="n">
        <v>28</v>
      </c>
      <c r="B30" t="inlineStr">
        <is>
          <t>COP</t>
        </is>
      </c>
      <c r="C30" t="inlineStr">
        <is>
          <t>8450.00</t>
        </is>
      </c>
    </row>
    <row r="31" ht="15" customHeight="1" s="45">
      <c r="A31" t="n">
        <v>29</v>
      </c>
      <c r="B31" t="inlineStr">
        <is>
          <t>COST</t>
        </is>
      </c>
      <c r="C31" t="inlineStr">
        <is>
          <t>29920.00</t>
        </is>
      </c>
    </row>
    <row r="32" ht="15" customHeight="1" s="45">
      <c r="A32" t="n">
        <v>30</v>
      </c>
      <c r="B32" t="inlineStr">
        <is>
          <t>CRM</t>
        </is>
      </c>
      <c r="C32" t="inlineStr">
        <is>
          <t>21240.00</t>
        </is>
      </c>
    </row>
    <row r="33" ht="15" customHeight="1" s="45">
      <c r="A33" t="n">
        <v>31</v>
      </c>
      <c r="B33" t="inlineStr">
        <is>
          <t>CRWD</t>
        </is>
      </c>
      <c r="C33" t="inlineStr">
        <is>
          <t>4855.00</t>
        </is>
      </c>
    </row>
    <row r="34" ht="15" customHeight="1" s="45">
      <c r="A34" t="n">
        <v>32</v>
      </c>
      <c r="B34" t="inlineStr">
        <is>
          <t>CRWV</t>
        </is>
      </c>
      <c r="C34" t="inlineStr">
        <is>
          <t>4760.00</t>
        </is>
      </c>
    </row>
    <row r="35" ht="15" customHeight="1" s="45">
      <c r="A35" t="n">
        <v>33</v>
      </c>
      <c r="B35" t="inlineStr">
        <is>
          <t>CSCO</t>
        </is>
      </c>
      <c r="C35" t="inlineStr">
        <is>
          <t>34840.00</t>
        </is>
      </c>
    </row>
    <row r="36" ht="15" customHeight="1" s="45">
      <c r="A36" t="n">
        <v>34</v>
      </c>
      <c r="B36" t="inlineStr">
        <is>
          <t>CVX</t>
        </is>
      </c>
      <c r="C36" t="inlineStr">
        <is>
          <t>21030.00</t>
        </is>
      </c>
    </row>
    <row r="37" ht="15" customHeight="1" s="45">
      <c r="A37" t="n">
        <v>35</v>
      </c>
      <c r="B37" t="inlineStr">
        <is>
          <t>DE</t>
        </is>
      </c>
      <c r="C37" t="inlineStr">
        <is>
          <t>27280.00</t>
        </is>
      </c>
    </row>
    <row r="38" ht="15" customHeight="1" s="45">
      <c r="A38" t="n">
        <v>36</v>
      </c>
      <c r="B38" t="inlineStr">
        <is>
          <t>DELL</t>
        </is>
      </c>
      <c r="C38" t="inlineStr">
        <is>
          <t>12410.00</t>
        </is>
      </c>
    </row>
    <row r="39" ht="15" customHeight="1" s="45">
      <c r="A39" t="n">
        <v>37</v>
      </c>
      <c r="B39" t="inlineStr">
        <is>
          <t>DOW</t>
        </is>
      </c>
      <c r="C39" t="inlineStr">
        <is>
          <t>7675.00</t>
        </is>
      </c>
    </row>
    <row r="40" ht="15" customHeight="1" s="45">
      <c r="A40" t="n">
        <v>38</v>
      </c>
      <c r="B40" t="inlineStr">
        <is>
          <t>EBAY</t>
        </is>
      </c>
      <c r="C40" t="inlineStr">
        <is>
          <t>89900.00</t>
        </is>
      </c>
    </row>
    <row r="41" ht="15" customHeight="1" s="45">
      <c r="A41" t="n">
        <v>39</v>
      </c>
      <c r="B41" t="inlineStr">
        <is>
          <t>FCX</t>
        </is>
      </c>
      <c r="C41" t="inlineStr">
        <is>
          <t>37880.00</t>
        </is>
      </c>
    </row>
    <row r="42" ht="15" customHeight="1" s="45">
      <c r="A42" t="n">
        <v>40</v>
      </c>
      <c r="B42" t="inlineStr">
        <is>
          <t>FSLR</t>
        </is>
      </c>
      <c r="C42" t="inlineStr">
        <is>
          <t>17290.00</t>
        </is>
      </c>
    </row>
    <row r="43" ht="15" customHeight="1" s="45">
      <c r="A43" t="n">
        <v>41</v>
      </c>
      <c r="B43" t="inlineStr">
        <is>
          <t>GE</t>
        </is>
      </c>
      <c r="C43" t="inlineStr">
        <is>
          <t>62600.00</t>
        </is>
      </c>
    </row>
    <row r="44" ht="15" customHeight="1" s="45">
      <c r="A44" t="n">
        <v>42</v>
      </c>
      <c r="B44" t="inlineStr">
        <is>
          <t>GEV</t>
        </is>
      </c>
      <c r="C44" t="inlineStr">
        <is>
          <t>8330.00</t>
        </is>
      </c>
    </row>
    <row r="45" ht="15" customHeight="1" s="45">
      <c r="A45" t="n">
        <v>43</v>
      </c>
      <c r="B45" t="inlineStr">
        <is>
          <t>GILD</t>
        </is>
      </c>
      <c r="C45" t="inlineStr">
        <is>
          <t>60575.00</t>
        </is>
      </c>
    </row>
    <row r="46" ht="15" customHeight="1" s="45">
      <c r="A46" t="n">
        <v>44</v>
      </c>
      <c r="B46" t="inlineStr">
        <is>
          <t>GLOB</t>
        </is>
      </c>
      <c r="C46" t="inlineStr">
        <is>
          <t>3205.00</t>
        </is>
      </c>
    </row>
    <row r="47" ht="15" customHeight="1" s="45">
      <c r="A47" t="n">
        <v>45</v>
      </c>
      <c r="B47" t="inlineStr">
        <is>
          <t>GOOGL</t>
        </is>
      </c>
      <c r="C47" t="inlineStr">
        <is>
          <t>9705.00</t>
        </is>
      </c>
    </row>
    <row r="48" ht="15" customHeight="1" s="45">
      <c r="A48" t="n">
        <v>46</v>
      </c>
      <c r="B48" t="inlineStr">
        <is>
          <t>HMY</t>
        </is>
      </c>
      <c r="C48" t="inlineStr">
        <is>
          <t>31780.00</t>
        </is>
      </c>
    </row>
    <row r="49" ht="15" customHeight="1" s="45">
      <c r="A49" t="n">
        <v>47</v>
      </c>
      <c r="B49" t="inlineStr">
        <is>
          <t>IBKR</t>
        </is>
      </c>
      <c r="C49" t="inlineStr">
        <is>
          <t>8470.00</t>
        </is>
      </c>
    </row>
    <row r="50" ht="15" customHeight="1" s="45">
      <c r="A50" t="n">
        <v>48</v>
      </c>
      <c r="B50" t="inlineStr">
        <is>
          <t>IBM</t>
        </is>
      </c>
      <c r="C50" t="inlineStr">
        <is>
          <t>24670.00</t>
        </is>
      </c>
    </row>
    <row r="51" ht="15" customHeight="1" s="45">
      <c r="A51" t="n">
        <v>49</v>
      </c>
      <c r="B51" t="inlineStr">
        <is>
          <t>INTC</t>
        </is>
      </c>
      <c r="C51" t="inlineStr">
        <is>
          <t>34180.00</t>
        </is>
      </c>
    </row>
    <row r="52" ht="15" customHeight="1" s="45">
      <c r="A52" t="n">
        <v>50</v>
      </c>
      <c r="B52" t="inlineStr">
        <is>
          <t>IREN</t>
        </is>
      </c>
      <c r="C52" t="inlineStr">
        <is>
          <t>6115.00</t>
        </is>
      </c>
    </row>
    <row r="53" ht="15" customHeight="1" s="45">
      <c r="A53" t="n">
        <v>51</v>
      </c>
      <c r="B53" t="inlineStr">
        <is>
          <t>JNJ</t>
        </is>
      </c>
      <c r="C53" t="inlineStr">
        <is>
          <t>28940.00</t>
        </is>
      </c>
    </row>
    <row r="54" ht="15" customHeight="1" s="45">
      <c r="A54" t="n">
        <v>52</v>
      </c>
      <c r="B54" t="inlineStr">
        <is>
          <t>JPM</t>
        </is>
      </c>
      <c r="C54" t="inlineStr">
        <is>
          <t>37160.00</t>
        </is>
      </c>
    </row>
    <row r="55" ht="15" customHeight="1" s="45">
      <c r="A55" t="n">
        <v>53</v>
      </c>
      <c r="B55" t="inlineStr">
        <is>
          <t>KLAC</t>
        </is>
      </c>
      <c r="C55" t="inlineStr">
        <is>
          <t>8175.00</t>
        </is>
      </c>
    </row>
    <row r="56" ht="15" customHeight="1" s="45">
      <c r="A56" t="n">
        <v>54</v>
      </c>
      <c r="B56" t="inlineStr">
        <is>
          <t>KMB</t>
        </is>
      </c>
      <c r="C56" t="inlineStr">
        <is>
          <t>26160.00</t>
        </is>
      </c>
    </row>
    <row r="57" ht="15" customHeight="1" s="45">
      <c r="A57" t="n">
        <v>55</v>
      </c>
      <c r="B57" t="inlineStr">
        <is>
          <t>KO</t>
        </is>
      </c>
      <c r="C57" t="inlineStr">
        <is>
          <t>28220.00</t>
        </is>
      </c>
    </row>
    <row r="58" ht="15" customHeight="1" s="45">
      <c r="A58" t="n">
        <v>56</v>
      </c>
      <c r="B58" t="inlineStr">
        <is>
          <t>LLY</t>
        </is>
      </c>
      <c r="C58" t="inlineStr">
        <is>
          <t>33020.00</t>
        </is>
      </c>
    </row>
    <row r="59" ht="15" customHeight="1" s="45">
      <c r="A59" t="n">
        <v>57</v>
      </c>
      <c r="B59" t="inlineStr">
        <is>
          <t>LMT</t>
        </is>
      </c>
      <c r="C59" t="inlineStr">
        <is>
          <t>42760.00</t>
        </is>
      </c>
    </row>
    <row r="60" ht="15" customHeight="1" s="45">
      <c r="A60" t="n">
        <v>58</v>
      </c>
      <c r="B60" t="inlineStr">
        <is>
          <t>LRCX</t>
        </is>
      </c>
      <c r="C60" t="inlineStr">
        <is>
          <t>8050.00</t>
        </is>
      </c>
    </row>
    <row r="61" ht="15" customHeight="1" s="45">
      <c r="A61" t="n">
        <v>59</v>
      </c>
      <c r="B61" t="inlineStr">
        <is>
          <t>MA</t>
        </is>
      </c>
      <c r="C61" t="inlineStr">
        <is>
          <t>27520.00</t>
        </is>
      </c>
    </row>
    <row r="62" ht="15" customHeight="1" s="45">
      <c r="A62" t="n">
        <v>60</v>
      </c>
      <c r="B62" t="inlineStr">
        <is>
          <t>MCD</t>
        </is>
      </c>
      <c r="C62" t="inlineStr">
        <is>
          <t>16640.00</t>
        </is>
      </c>
    </row>
    <row r="63" ht="15" customHeight="1" s="45">
      <c r="A63" t="n">
        <v>61</v>
      </c>
      <c r="B63" t="inlineStr">
        <is>
          <t>MELI</t>
        </is>
      </c>
      <c r="C63" t="inlineStr">
        <is>
          <t>24060.00</t>
        </is>
      </c>
    </row>
    <row r="64" ht="15" customHeight="1" s="45">
      <c r="A64" t="n">
        <v>62</v>
      </c>
      <c r="B64" t="inlineStr">
        <is>
          <t>META</t>
        </is>
      </c>
      <c r="C64" t="inlineStr">
        <is>
          <t>44820.00</t>
        </is>
      </c>
    </row>
    <row r="65" ht="15" customHeight="1" s="45">
      <c r="A65" t="n">
        <v>63</v>
      </c>
      <c r="B65" t="inlineStr">
        <is>
          <t>MO</t>
        </is>
      </c>
      <c r="C65" t="inlineStr">
        <is>
          <t>27800.00</t>
        </is>
      </c>
    </row>
    <row r="66" ht="15" customHeight="1" s="45">
      <c r="A66" t="n">
        <v>64</v>
      </c>
      <c r="B66" t="inlineStr">
        <is>
          <t>MRK</t>
        </is>
      </c>
      <c r="C66" t="inlineStr">
        <is>
          <t>46840.00</t>
        </is>
      </c>
    </row>
    <row r="67" ht="15" customHeight="1" s="45">
      <c r="A67" t="n">
        <v>65</v>
      </c>
      <c r="B67" t="inlineStr">
        <is>
          <t>MRVL</t>
        </is>
      </c>
      <c r="C67" t="inlineStr">
        <is>
          <t>27100.00</t>
        </is>
      </c>
    </row>
    <row r="68" ht="15" customHeight="1" s="45">
      <c r="A68" t="n">
        <v>66</v>
      </c>
      <c r="B68" t="inlineStr">
        <is>
          <t>MS</t>
        </is>
      </c>
      <c r="C68" t="inlineStr">
        <is>
          <t>7870.00</t>
        </is>
      </c>
    </row>
    <row r="69" ht="15" customHeight="1" s="45">
      <c r="A69" t="n">
        <v>67</v>
      </c>
      <c r="B69" t="inlineStr">
        <is>
          <t>MSFT</t>
        </is>
      </c>
      <c r="C69" t="inlineStr">
        <is>
          <t>26440.00</t>
        </is>
      </c>
    </row>
    <row r="70" ht="15" customHeight="1" s="45">
      <c r="A70" t="n">
        <v>68</v>
      </c>
      <c r="B70" t="inlineStr">
        <is>
          <t>MSTR</t>
        </is>
      </c>
      <c r="C70" t="inlineStr">
        <is>
          <t>12130.00</t>
        </is>
      </c>
    </row>
    <row r="71" ht="15" customHeight="1" s="45">
      <c r="A71" t="n">
        <v>69</v>
      </c>
      <c r="B71" t="inlineStr">
        <is>
          <t>MU</t>
        </is>
      </c>
      <c r="C71" t="inlineStr">
        <is>
          <t>322475.00</t>
        </is>
      </c>
    </row>
    <row r="72" ht="15" customHeight="1" s="45">
      <c r="A72" t="n">
        <v>70</v>
      </c>
      <c r="B72" t="inlineStr">
        <is>
          <t>NBIS</t>
        </is>
      </c>
      <c r="C72" t="inlineStr">
        <is>
          <t>13120.00</t>
        </is>
      </c>
    </row>
    <row r="73" ht="15" customHeight="1" s="45">
      <c r="A73" t="n">
        <v>71</v>
      </c>
      <c r="B73" t="inlineStr">
        <is>
          <t>NEE</t>
        </is>
      </c>
      <c r="C73" t="inlineStr">
        <is>
          <t>6780.00</t>
        </is>
      </c>
    </row>
    <row r="74" ht="15" customHeight="1" s="45">
      <c r="A74" t="n">
        <v>72</v>
      </c>
      <c r="B74" t="inlineStr">
        <is>
          <t>NEM</t>
        </is>
      </c>
      <c r="C74" t="inlineStr">
        <is>
          <t>65825.00</t>
        </is>
      </c>
    </row>
    <row r="75" ht="15" customHeight="1" s="45">
      <c r="A75" t="n">
        <v>73</v>
      </c>
      <c r="B75" t="inlineStr">
        <is>
          <t>NFLX</t>
        </is>
      </c>
      <c r="C75" t="inlineStr">
        <is>
          <t>2399.00</t>
        </is>
      </c>
    </row>
    <row r="76" ht="15" customHeight="1" s="45">
      <c r="A76" t="n">
        <v>74</v>
      </c>
      <c r="B76" t="inlineStr">
        <is>
          <t>NIO</t>
        </is>
      </c>
      <c r="C76" t="inlineStr">
        <is>
          <t>1475.00</t>
        </is>
      </c>
    </row>
    <row r="77" ht="15" customHeight="1" s="45">
      <c r="A77" t="n">
        <v>75</v>
      </c>
      <c r="B77" t="inlineStr">
        <is>
          <t>NKE</t>
        </is>
      </c>
      <c r="C77" t="inlineStr">
        <is>
          <t>4742.50</t>
        </is>
      </c>
    </row>
    <row r="78" ht="15" customHeight="1" s="45">
      <c r="A78" t="n">
        <v>76</v>
      </c>
      <c r="B78" t="inlineStr">
        <is>
          <t>NOK</t>
        </is>
      </c>
      <c r="C78" t="inlineStr">
        <is>
          <t>16880.00</t>
        </is>
      </c>
    </row>
    <row r="79" ht="15" customHeight="1" s="45">
      <c r="A79" t="n">
        <v>77</v>
      </c>
      <c r="B79" t="inlineStr">
        <is>
          <t>NOW</t>
        </is>
      </c>
      <c r="C79" t="inlineStr">
        <is>
          <t>1276.00</t>
        </is>
      </c>
    </row>
    <row r="80" ht="15" customHeight="1" s="45">
      <c r="A80" t="n">
        <v>78</v>
      </c>
      <c r="B80" t="inlineStr">
        <is>
          <t>NU</t>
        </is>
      </c>
      <c r="C80" t="inlineStr">
        <is>
          <t>10960.00</t>
        </is>
      </c>
    </row>
    <row r="81" ht="15" customHeight="1" s="45">
      <c r="A81" t="n">
        <v>79</v>
      </c>
      <c r="B81" t="inlineStr">
        <is>
          <t>NVDA</t>
        </is>
      </c>
      <c r="C81" t="inlineStr">
        <is>
          <t>14640.00</t>
        </is>
      </c>
    </row>
    <row r="82" ht="15" customHeight="1" s="45">
      <c r="A82" t="n">
        <v>80</v>
      </c>
      <c r="B82" t="inlineStr">
        <is>
          <t>OKLO</t>
        </is>
      </c>
      <c r="C82" t="inlineStr">
        <is>
          <t>2160.00</t>
        </is>
      </c>
    </row>
    <row r="83" ht="15" customHeight="1" s="45">
      <c r="A83" t="n">
        <v>81</v>
      </c>
      <c r="B83" t="inlineStr">
        <is>
          <t>ORCL</t>
        </is>
      </c>
      <c r="C83" t="inlineStr">
        <is>
          <t>78525.00</t>
        </is>
      </c>
    </row>
    <row r="84" ht="15" customHeight="1" s="45">
      <c r="A84" t="n">
        <v>82</v>
      </c>
      <c r="B84" t="inlineStr">
        <is>
          <t>PAAS</t>
        </is>
      </c>
      <c r="C84" t="inlineStr">
        <is>
          <t>26640.00</t>
        </is>
      </c>
    </row>
    <row r="85" ht="15" customHeight="1" s="45">
      <c r="A85" t="n">
        <v>83</v>
      </c>
      <c r="B85" t="inlineStr">
        <is>
          <t>PAGS</t>
        </is>
      </c>
      <c r="C85" t="inlineStr">
        <is>
          <t>4990.00</t>
        </is>
      </c>
    </row>
    <row r="86" ht="15" customHeight="1" s="45">
      <c r="A86" t="n">
        <v>84</v>
      </c>
      <c r="B86" t="inlineStr">
        <is>
          <t>PBR</t>
        </is>
      </c>
      <c r="C86" t="inlineStr">
        <is>
          <t>33340.00</t>
        </is>
      </c>
    </row>
    <row r="87" ht="15" customHeight="1" s="45">
      <c r="A87" t="n">
        <v>85</v>
      </c>
      <c r="B87" t="inlineStr">
        <is>
          <t>PEP</t>
        </is>
      </c>
      <c r="C87" t="inlineStr">
        <is>
          <t>11590.00</t>
        </is>
      </c>
    </row>
    <row r="88" ht="15" customHeight="1" s="45">
      <c r="A88" t="n">
        <v>86</v>
      </c>
      <c r="B88" t="inlineStr">
        <is>
          <t>PFE</t>
        </is>
      </c>
      <c r="C88" t="inlineStr">
        <is>
          <t>11000.00</t>
        </is>
      </c>
    </row>
    <row r="89" ht="15" customHeight="1" s="45">
      <c r="A89" t="n">
        <v>87</v>
      </c>
      <c r="B89" t="inlineStr">
        <is>
          <t>PG</t>
        </is>
      </c>
      <c r="C89" t="inlineStr">
        <is>
          <t>15640.00</t>
        </is>
      </c>
    </row>
    <row r="90" ht="15" customHeight="1" s="45">
      <c r="A90" t="n">
        <v>88</v>
      </c>
      <c r="B90" t="inlineStr">
        <is>
          <t>PLTR</t>
        </is>
      </c>
      <c r="C90" t="inlineStr">
        <is>
          <t>94275.00</t>
        </is>
      </c>
    </row>
    <row r="91" ht="15" customHeight="1" s="45">
      <c r="A91" t="n">
        <v>89</v>
      </c>
      <c r="B91" t="inlineStr">
        <is>
          <t>PYPL</t>
        </is>
      </c>
      <c r="C91" t="inlineStr">
        <is>
          <t>10480.00</t>
        </is>
      </c>
    </row>
    <row r="92" ht="15" customHeight="1" s="45">
      <c r="A92" t="n">
        <v>90</v>
      </c>
      <c r="B92" t="inlineStr">
        <is>
          <t>QCOM</t>
        </is>
      </c>
      <c r="C92" t="inlineStr">
        <is>
          <t>25920.00</t>
        </is>
      </c>
    </row>
    <row r="93" ht="15" customHeight="1" s="45">
      <c r="A93" t="n">
        <v>91</v>
      </c>
      <c r="B93" t="inlineStr">
        <is>
          <t>RIO</t>
        </is>
      </c>
      <c r="C93" t="inlineStr">
        <is>
          <t>19410.00</t>
        </is>
      </c>
    </row>
    <row r="94" ht="15" customHeight="1" s="45">
      <c r="A94" t="n">
        <v>92</v>
      </c>
      <c r="B94" t="inlineStr">
        <is>
          <t>RKLB</t>
        </is>
      </c>
      <c r="C94" t="inlineStr">
        <is>
          <t>8550.00</t>
        </is>
      </c>
    </row>
    <row r="95" ht="15" customHeight="1" s="45">
      <c r="A95" t="n">
        <v>93</v>
      </c>
      <c r="B95" t="inlineStr">
        <is>
          <t>RTX</t>
        </is>
      </c>
      <c r="C95" t="inlineStr">
        <is>
          <t>61850.00</t>
        </is>
      </c>
    </row>
    <row r="96" ht="15" customHeight="1" s="45">
      <c r="A96" t="n">
        <v>94</v>
      </c>
      <c r="B96" t="inlineStr">
        <is>
          <t>SCCO</t>
        </is>
      </c>
      <c r="C96" t="inlineStr">
        <is>
          <t>155875.00</t>
        </is>
      </c>
    </row>
    <row r="97" ht="15" customHeight="1" s="45">
      <c r="A97" t="n">
        <v>95</v>
      </c>
      <c r="B97" t="inlineStr">
        <is>
          <t>SHEL</t>
        </is>
      </c>
      <c r="C97" t="inlineStr">
        <is>
          <t>75475.00</t>
        </is>
      </c>
    </row>
    <row r="98" ht="15" customHeight="1" s="45">
      <c r="A98" t="n">
        <v>96</v>
      </c>
      <c r="B98" t="inlineStr">
        <is>
          <t>SNDK</t>
        </is>
      </c>
      <c r="C98" t="inlineStr">
        <is>
          <t>16350.00</t>
        </is>
      </c>
    </row>
    <row r="99" ht="15" customHeight="1" s="45">
      <c r="A99" t="n">
        <v>97</v>
      </c>
      <c r="B99" t="inlineStr">
        <is>
          <t>SNOW</t>
        </is>
      </c>
      <c r="C99" t="inlineStr">
        <is>
          <t>17800.00</t>
        </is>
      </c>
    </row>
    <row r="100" ht="15" customHeight="1" s="45">
      <c r="A100" t="n">
        <v>98</v>
      </c>
      <c r="B100" t="inlineStr">
        <is>
          <t>SPCX</t>
        </is>
      </c>
      <c r="C100" t="inlineStr">
        <is>
          <t>4805.00</t>
        </is>
      </c>
    </row>
    <row r="101" ht="15" customHeight="1" s="45">
      <c r="A101" t="n">
        <v>99</v>
      </c>
      <c r="B101" t="inlineStr">
        <is>
          <t>SPOT</t>
        </is>
      </c>
      <c r="C101" t="inlineStr">
        <is>
          <t>29400.00</t>
        </is>
      </c>
    </row>
    <row r="102" ht="15" customHeight="1" s="45">
      <c r="A102" t="n">
        <v>100</v>
      </c>
      <c r="B102" t="inlineStr">
        <is>
          <t>STNE</t>
        </is>
      </c>
      <c r="C102" t="inlineStr">
        <is>
          <t>5175.00</t>
        </is>
      </c>
    </row>
    <row r="103" ht="15" customHeight="1" s="45">
      <c r="A103" t="n">
        <v>101</v>
      </c>
      <c r="B103" t="inlineStr">
        <is>
          <t>T</t>
        </is>
      </c>
      <c r="C103" t="inlineStr">
        <is>
          <t>13610.00</t>
        </is>
      </c>
    </row>
    <row r="104" ht="15" customHeight="1" s="45">
      <c r="A104" t="n">
        <v>102</v>
      </c>
      <c r="B104" t="inlineStr">
        <is>
          <t>TGT</t>
        </is>
      </c>
      <c r="C104" t="inlineStr">
        <is>
          <t>10470.00</t>
        </is>
      </c>
    </row>
    <row r="105" ht="15" customHeight="1" s="45">
      <c r="A105" t="n">
        <v>103</v>
      </c>
      <c r="B105" t="inlineStr">
        <is>
          <t>TLN</t>
        </is>
      </c>
      <c r="C105" t="inlineStr">
        <is>
          <t>7435.00</t>
        </is>
      </c>
    </row>
    <row r="106" ht="15" customHeight="1" s="45">
      <c r="A106" t="n">
        <v>104</v>
      </c>
      <c r="B106" t="inlineStr">
        <is>
          <t>TSLA</t>
        </is>
      </c>
      <c r="C106" t="inlineStr">
        <is>
          <t>38720.00</t>
        </is>
      </c>
    </row>
    <row r="107" ht="15" customHeight="1" s="45">
      <c r="A107" t="n">
        <v>105</v>
      </c>
      <c r="B107" t="inlineStr">
        <is>
          <t>TSM</t>
        </is>
      </c>
      <c r="C107" t="inlineStr">
        <is>
          <t>76375.00</t>
        </is>
      </c>
    </row>
    <row r="108" ht="15" customHeight="1" s="45">
      <c r="A108" t="n">
        <v>106</v>
      </c>
      <c r="B108" t="inlineStr">
        <is>
          <t>TXN</t>
        </is>
      </c>
      <c r="C108" t="inlineStr">
        <is>
          <t>84275.00</t>
        </is>
      </c>
    </row>
    <row r="109" ht="15" customHeight="1" s="45">
      <c r="A109" t="n">
        <v>107</v>
      </c>
      <c r="B109" t="inlineStr">
        <is>
          <t>UBER</t>
        </is>
      </c>
      <c r="C109" t="inlineStr">
        <is>
          <t>56500.00</t>
        </is>
      </c>
    </row>
    <row r="110" ht="15" customHeight="1" s="45">
      <c r="A110" t="n">
        <v>108</v>
      </c>
      <c r="B110" t="inlineStr">
        <is>
          <t>UNH</t>
        </is>
      </c>
      <c r="C110" t="inlineStr">
        <is>
          <t>18220.00</t>
        </is>
      </c>
    </row>
    <row r="111" ht="15" customHeight="1" s="45">
      <c r="A111" t="n">
        <v>109</v>
      </c>
      <c r="B111" t="inlineStr">
        <is>
          <t>V</t>
        </is>
      </c>
      <c r="C111" t="inlineStr">
        <is>
          <t>32880.00</t>
        </is>
      </c>
    </row>
    <row r="112" ht="15" customHeight="1" s="45">
      <c r="A112" t="n">
        <v>110</v>
      </c>
      <c r="B112" t="inlineStr">
        <is>
          <t>VALE</t>
        </is>
      </c>
      <c r="C112" t="inlineStr">
        <is>
          <t>11360.00</t>
        </is>
      </c>
    </row>
    <row r="113" ht="15" customHeight="1" s="45">
      <c r="A113" t="n">
        <v>111</v>
      </c>
      <c r="B113" t="inlineStr">
        <is>
          <t>VIST</t>
        </is>
      </c>
      <c r="C113" t="inlineStr">
        <is>
          <t>38680.00</t>
        </is>
      </c>
    </row>
    <row r="114" ht="15" customHeight="1" s="45">
      <c r="A114" t="n">
        <v>112</v>
      </c>
      <c r="B114" t="inlineStr">
        <is>
          <t>VST</t>
        </is>
      </c>
      <c r="C114" t="inlineStr">
        <is>
          <t>8730.00</t>
        </is>
      </c>
    </row>
    <row r="115" ht="15" customHeight="1" s="45">
      <c r="A115" t="n">
        <v>113</v>
      </c>
      <c r="B115" t="inlineStr">
        <is>
          <t>VZ</t>
        </is>
      </c>
      <c r="C115" t="inlineStr">
        <is>
          <t>19230.00</t>
        </is>
      </c>
    </row>
    <row r="116" ht="15" customHeight="1" s="45">
      <c r="A116" t="n">
        <v>114</v>
      </c>
      <c r="B116" t="inlineStr">
        <is>
          <t>WDC</t>
        </is>
      </c>
      <c r="C116" t="inlineStr">
        <is>
          <t>7695.00</t>
        </is>
      </c>
    </row>
    <row r="117" ht="15" customHeight="1" s="45">
      <c r="A117" t="n">
        <v>115</v>
      </c>
      <c r="B117" t="inlineStr">
        <is>
          <t>WFC</t>
        </is>
      </c>
      <c r="C117" t="inlineStr">
        <is>
          <t>27640.00</t>
        </is>
      </c>
    </row>
    <row r="118" ht="15" customHeight="1" s="45">
      <c r="A118" t="n">
        <v>116</v>
      </c>
      <c r="B118" t="inlineStr">
        <is>
          <t>WMT</t>
        </is>
      </c>
      <c r="C118" t="inlineStr">
        <is>
          <t>9565.00</t>
        </is>
      </c>
    </row>
    <row r="119" ht="15" customHeight="1" s="45">
      <c r="A119" t="n">
        <v>117</v>
      </c>
      <c r="B119" t="inlineStr">
        <is>
          <t>XOM</t>
        </is>
      </c>
      <c r="C119" t="inlineStr">
        <is>
          <t>25960.00</t>
        </is>
      </c>
    </row>
    <row r="120" ht="15" customHeight="1" s="45">
      <c r="A120" t="n">
        <v>118</v>
      </c>
      <c r="B120" t="inlineStr">
        <is>
          <t>SPY</t>
        </is>
      </c>
      <c r="C120" t="inlineStr">
        <is>
          <t>20310.00</t>
        </is>
      </c>
    </row>
    <row r="121" ht="15" customHeight="1" s="45">
      <c r="A121" t="n">
        <v>119</v>
      </c>
      <c r="B121" t="inlineStr">
        <is>
          <t>QQQ</t>
        </is>
      </c>
      <c r="C121" t="inlineStr">
        <is>
          <t>57525.00</t>
        </is>
      </c>
    </row>
    <row r="122" ht="15" customHeight="1" s="45">
      <c r="A122" t="n">
        <v>120</v>
      </c>
      <c r="B122" t="inlineStr">
        <is>
          <t>AL30</t>
        </is>
      </c>
      <c r="C122" t="inlineStr">
        <is>
          <t>85260.00</t>
        </is>
      </c>
    </row>
    <row r="123" ht="15" customHeight="1" s="45">
      <c r="A123" t="n">
        <v>121</v>
      </c>
      <c r="B123" t="inlineStr">
        <is>
          <t>AL30D</t>
        </is>
      </c>
      <c r="C123" t="inlineStr">
        <is>
          <t>55.52</t>
        </is>
      </c>
    </row>
    <row r="124" ht="15" customHeight="1" s="45">
      <c r="A124" t="n">
        <v>122</v>
      </c>
      <c r="B124" t="inlineStr">
        <is>
          <t>AL35</t>
        </is>
      </c>
      <c r="C124" t="inlineStr">
        <is>
          <t>113560.00</t>
        </is>
      </c>
    </row>
    <row r="125" ht="15" customHeight="1" s="45">
      <c r="A125" t="n">
        <v>123</v>
      </c>
      <c r="B125" t="inlineStr">
        <is>
          <t>AL35D</t>
        </is>
      </c>
      <c r="C125" t="inlineStr">
        <is>
          <t>73.93</t>
        </is>
      </c>
    </row>
    <row r="126" ht="15" customHeight="1" s="45">
      <c r="A126" t="n">
        <v>124</v>
      </c>
      <c r="B126" t="inlineStr">
        <is>
          <t>T15E7</t>
        </is>
      </c>
      <c r="C126" t="inlineStr">
        <is>
          <t>149.50</t>
        </is>
      </c>
    </row>
    <row r="127" ht="15" customHeight="1" s="45">
      <c r="A127" t="n">
        <v>125</v>
      </c>
      <c r="B127" t="inlineStr">
        <is>
          <t>T30A7</t>
        </is>
      </c>
      <c r="C127" t="inlineStr">
        <is>
          <t>135.19</t>
        </is>
      </c>
    </row>
    <row r="128" ht="15" customHeight="1" s="45">
      <c r="A128" t="n">
        <v>126</v>
      </c>
      <c r="B128" t="inlineStr">
        <is>
          <t>TTD26</t>
        </is>
      </c>
      <c r="C128" t="inlineStr">
        <is>
          <t>170.72</t>
        </is>
      </c>
    </row>
  </sheetData>
  <pageMargins left="0.7" right="0.7" top="0.75" bottom="0.75" header="0.511811023622047" footer="0.511811023622047"/>
  <pageSetup orientation="portrait" paperSize="9" horizontalDpi="300" verticalDpi="300"/>
</worksheet>
</file>

<file path=xl/worksheets/sheet3.xml><?xml version="1.0" encoding="utf-8"?>
<worksheet xmlns="http://schemas.openxmlformats.org/spreadsheetml/2006/main">
  <sheetPr>
    <outlinePr summaryBelow="1" summaryRight="1"/>
    <pageSetUpPr/>
  </sheetPr>
  <dimension ref="B2:L24"/>
  <sheetViews>
    <sheetView zoomScale="75" zoomScaleNormal="75" workbookViewId="0">
      <selection activeCell="G1" sqref="G1"/>
    </sheetView>
  </sheetViews>
  <sheetFormatPr baseColWidth="10" defaultColWidth="10.7109375" defaultRowHeight="15" customHeight="1"/>
  <cols>
    <col width="22.28515625" customWidth="1" style="45" min="2" max="2"/>
    <col width="20.5703125" customWidth="1" style="45" min="3" max="3"/>
    <col width="21.42578125" customWidth="1" style="45" min="4" max="4"/>
    <col width="22.5703125" customWidth="1" style="45" min="5" max="5"/>
    <col width="51.7109375" customWidth="1" style="45" min="6" max="6"/>
    <col width="45" customWidth="1" style="45" min="9" max="9"/>
  </cols>
  <sheetData>
    <row r="2" ht="15" customHeight="1" s="45">
      <c r="B2" s="1" t="n"/>
      <c r="C2" s="1" t="n"/>
      <c r="D2" s="1" t="n"/>
      <c r="E2" s="1" t="n"/>
      <c r="F2" s="1" t="n"/>
      <c r="G2" s="1" t="n"/>
      <c r="H2" s="1" t="n"/>
      <c r="I2" s="1" t="n"/>
      <c r="J2" s="1" t="n"/>
      <c r="K2" s="1" t="n"/>
      <c r="L2" s="1" t="n"/>
    </row>
    <row r="3" ht="15" customHeight="1" s="45">
      <c r="B3" s="1" t="n"/>
      <c r="C3" s="1" t="inlineStr">
        <is>
          <t>Ingresos</t>
        </is>
      </c>
      <c r="D3" s="1" t="n"/>
      <c r="E3" s="1" t="inlineStr">
        <is>
          <t>Beneficios</t>
        </is>
      </c>
      <c r="F3" s="1" t="n"/>
      <c r="G3" s="1" t="n"/>
      <c r="H3" s="1" t="n"/>
      <c r="I3" s="1" t="n"/>
      <c r="J3" s="1" t="n"/>
      <c r="K3" s="1" t="n"/>
      <c r="L3" s="1" t="n"/>
    </row>
    <row r="4" ht="15" customHeight="1" s="45">
      <c r="B4" s="6" t="inlineStr">
        <is>
          <t>Empresa</t>
        </is>
      </c>
      <c r="C4" s="6" t="inlineStr">
        <is>
          <t>Segmento dominante</t>
        </is>
      </c>
      <c r="D4" s="6" t="inlineStr">
        <is>
          <t>% ingresos</t>
        </is>
      </c>
      <c r="E4" s="6" t="inlineStr">
        <is>
          <t>Motor real de ganancias</t>
        </is>
      </c>
      <c r="F4" t="inlineStr">
        <is>
          <t>% beneficios</t>
        </is>
      </c>
      <c r="G4" s="1" t="n"/>
      <c r="H4" s="1" t="n"/>
      <c r="I4" s="1" t="n"/>
      <c r="J4" s="1" t="n"/>
      <c r="K4" s="1" t="n"/>
      <c r="L4" s="1" t="n"/>
    </row>
    <row r="5" ht="15" customHeight="1" s="45">
      <c r="B5" s="7" t="inlineStr">
        <is>
          <t>Microsoft</t>
        </is>
      </c>
      <c r="C5" s="7" t="inlineStr">
        <is>
          <t>Productivity + Cloud</t>
        </is>
      </c>
      <c r="D5" s="7" t="inlineStr">
        <is>
          <t>bastante balanceado</t>
        </is>
      </c>
      <c r="E5" s="7" t="inlineStr">
        <is>
          <t>Office + Cloud</t>
        </is>
      </c>
      <c r="F5" t="inlineStr">
        <is>
          <t>54% office, 35% cloud</t>
        </is>
      </c>
      <c r="G5" s="1" t="n"/>
      <c r="H5" s="1" t="n"/>
      <c r="I5" s="47" t="n"/>
      <c r="J5" s="1" t="n"/>
      <c r="K5" s="1" t="n"/>
      <c r="L5" s="1" t="n"/>
    </row>
    <row r="6" ht="23.85" customHeight="1" s="45">
      <c r="B6" s="7" t="inlineStr">
        <is>
          <t>Alphabet</t>
        </is>
      </c>
      <c r="C6" s="7" t="inlineStr">
        <is>
          <t>Google Services (incluye Search / Ads)</t>
        </is>
      </c>
      <c r="D6" s="7" t="inlineStr">
        <is>
          <t>~85%</t>
        </is>
      </c>
      <c r="E6" s="7" t="inlineStr">
        <is>
          <t>Search / Ads</t>
        </is>
      </c>
      <c r="F6" t="inlineStr">
        <is>
          <t>80-90%</t>
        </is>
      </c>
      <c r="G6" s="1" t="n"/>
      <c r="H6" s="1" t="n"/>
      <c r="I6" s="1" t="n"/>
      <c r="J6" s="1" t="n"/>
      <c r="K6" s="1" t="n"/>
      <c r="L6" s="1" t="n"/>
    </row>
    <row r="7" ht="15" customHeight="1" s="45">
      <c r="B7" s="7" t="inlineStr">
        <is>
          <t>Amazon (referencia)</t>
        </is>
      </c>
      <c r="C7" s="7" t="inlineStr">
        <is>
          <t>Retail</t>
        </is>
      </c>
      <c r="D7" s="7" t="inlineStr">
        <is>
          <t>~40%</t>
        </is>
      </c>
      <c r="E7" s="7" t="inlineStr">
        <is>
          <t>AWS + Ads</t>
        </is>
      </c>
      <c r="F7" t="inlineStr">
        <is>
          <t>60-70%</t>
        </is>
      </c>
      <c r="G7" s="1" t="n"/>
      <c r="H7" s="1" t="n"/>
      <c r="I7" s="1" t="n"/>
      <c r="J7" s="1" t="n"/>
      <c r="K7" s="1" t="n"/>
      <c r="L7" s="1" t="n"/>
    </row>
    <row r="8" ht="15" customHeight="1" s="45">
      <c r="B8" s="1" t="inlineStr">
        <is>
          <t>Apple</t>
        </is>
      </c>
      <c r="C8" s="1" t="inlineStr">
        <is>
          <t>Hardware + servicios (icloud, app store)</t>
        </is>
      </c>
      <c r="D8" s="1" t="inlineStr">
        <is>
          <t>75% y 25%</t>
        </is>
      </c>
      <c r="E8" s="1" t="inlineStr">
        <is>
          <t>Hardware + servicios</t>
        </is>
      </c>
      <c r="F8" t="inlineStr">
        <is>
          <t xml:space="preserve">~55–65% y ~35–45% </t>
        </is>
      </c>
      <c r="G8" s="1" t="n"/>
      <c r="H8" s="1" t="n"/>
      <c r="I8" s="1" t="n"/>
      <c r="J8" s="1" t="n"/>
      <c r="K8" s="1" t="n"/>
      <c r="L8" s="1" t="n"/>
    </row>
    <row r="9" ht="15" customHeight="1" s="45">
      <c r="C9" s="1" t="n"/>
      <c r="D9" s="1" t="n"/>
      <c r="E9" s="1" t="n"/>
      <c r="F9" s="1" t="n"/>
      <c r="G9" s="1" t="n"/>
      <c r="H9" s="1" t="n"/>
      <c r="I9" s="1" t="n"/>
      <c r="J9" s="1" t="n"/>
      <c r="K9" s="1" t="n"/>
      <c r="L9" s="1" t="n"/>
    </row>
    <row r="10" ht="15" customHeight="1" s="45">
      <c r="B10" s="1" t="n"/>
      <c r="C10" s="1" t="n"/>
      <c r="D10" s="1" t="n"/>
      <c r="E10" s="1" t="n"/>
      <c r="F10" s="1" t="n"/>
      <c r="G10" s="1" t="n"/>
      <c r="H10" s="1" t="n"/>
      <c r="I10" s="1" t="n"/>
      <c r="J10" s="1" t="n"/>
      <c r="K10" s="1" t="n"/>
      <c r="L10" s="1" t="n"/>
    </row>
    <row r="11" ht="15" customHeight="1" s="45">
      <c r="B11" s="1" t="n"/>
      <c r="C11" s="1" t="n"/>
      <c r="D11" s="1" t="n"/>
      <c r="E11" s="1" t="n"/>
      <c r="F11" s="1" t="n"/>
      <c r="G11" s="1" t="n"/>
      <c r="H11" s="1" t="n"/>
      <c r="I11" s="1" t="n"/>
      <c r="J11" s="1" t="n"/>
      <c r="K11" s="1" t="n"/>
      <c r="L11" s="1" t="n"/>
    </row>
    <row r="12" ht="15" customHeight="1" s="45">
      <c r="B12" s="1" t="n"/>
      <c r="C12" s="1" t="n"/>
      <c r="D12" s="1" t="n"/>
      <c r="E12" s="1" t="n"/>
      <c r="F12" s="1" t="n"/>
      <c r="G12" s="1" t="n"/>
      <c r="H12" s="1" t="n"/>
      <c r="I12" s="1" t="n"/>
      <c r="J12" s="1" t="n"/>
      <c r="K12" s="1" t="n"/>
      <c r="L12" s="1" t="n"/>
    </row>
    <row r="13" ht="15" customHeight="1" s="45">
      <c r="B13" s="1" t="n"/>
      <c r="C13" s="1" t="n"/>
      <c r="D13" s="1" t="n"/>
      <c r="E13" s="1" t="n"/>
      <c r="F13" s="1" t="n"/>
      <c r="G13" s="1" t="n"/>
      <c r="H13" s="1" t="n"/>
      <c r="I13" s="1" t="n"/>
      <c r="J13" s="1" t="n"/>
      <c r="K13" s="1" t="n"/>
      <c r="L13" s="1" t="n"/>
    </row>
    <row r="14" ht="15" customHeight="1" s="45">
      <c r="B14" s="1" t="n"/>
      <c r="C14" s="1" t="n"/>
      <c r="D14" s="1" t="n"/>
      <c r="E14" s="1" t="n"/>
      <c r="F14" s="1" t="n"/>
      <c r="G14" s="1" t="n"/>
      <c r="H14" s="1" t="n"/>
      <c r="I14" s="1" t="n"/>
      <c r="J14" s="1" t="n"/>
      <c r="K14" s="1" t="n"/>
      <c r="L14" s="1" t="n"/>
    </row>
    <row r="15" ht="15" customHeight="1" s="45">
      <c r="B15" s="1" t="n"/>
      <c r="C15" s="1" t="n"/>
      <c r="D15" s="1" t="n"/>
      <c r="E15" s="1" t="n"/>
      <c r="F15" s="1" t="n"/>
      <c r="G15" s="1" t="n"/>
      <c r="H15" s="1" t="n"/>
      <c r="I15" s="1" t="n"/>
      <c r="J15" s="1" t="n"/>
      <c r="K15" s="1" t="n"/>
      <c r="L15" s="1" t="n"/>
    </row>
    <row r="16" ht="15" customHeight="1" s="45">
      <c r="B16" s="3" t="inlineStr">
        <is>
          <t>Fabricación de máquinas de chips</t>
        </is>
      </c>
      <c r="C16" s="3" t="n"/>
      <c r="D16" s="3" t="inlineStr">
        <is>
          <t>Top 3 fabricacion de chips</t>
        </is>
      </c>
      <c r="E16" s="3" t="n"/>
      <c r="F16" s="3" t="inlineStr">
        <is>
          <t>Top 3 fabricación de memorias (RAM, almacenamiento)</t>
        </is>
      </c>
      <c r="G16" s="3" t="n"/>
      <c r="H16" s="3" t="n"/>
      <c r="I16" s="3" t="inlineStr">
        <is>
          <t>Top 3 diseño de chips</t>
        </is>
      </c>
      <c r="J16" s="1" t="n"/>
      <c r="K16" s="1" t="n"/>
      <c r="L16" s="1" t="n"/>
    </row>
    <row r="17" ht="15" customHeight="1" s="45">
      <c r="B17" s="8" t="inlineStr">
        <is>
          <t>ASML</t>
        </is>
      </c>
      <c r="C17" s="1" t="n"/>
      <c r="D17" s="8" t="inlineStr">
        <is>
          <t>TSMC</t>
        </is>
      </c>
      <c r="E17" s="1" t="n"/>
      <c r="F17" s="1" t="inlineStr">
        <is>
          <t>Samsung</t>
        </is>
      </c>
      <c r="G17" s="1" t="n"/>
      <c r="H17" s="1" t="n"/>
      <c r="I17" s="8" t="inlineStr">
        <is>
          <t>Nvidia (lider en IA, gracias a CUDA -software-)</t>
        </is>
      </c>
      <c r="J17" s="1" t="n"/>
      <c r="K17" s="1" t="n"/>
      <c r="L17" s="1" t="n"/>
    </row>
    <row r="18" ht="15" customHeight="1" s="45">
      <c r="B18" s="1" t="n"/>
      <c r="C18" s="1" t="n"/>
      <c r="D18" s="1" t="inlineStr">
        <is>
          <t>Samsung</t>
        </is>
      </c>
      <c r="E18" s="1" t="n"/>
      <c r="F18" s="1" t="inlineStr">
        <is>
          <t>sk hynix (lider en memorias de HBM, para IA)</t>
        </is>
      </c>
      <c r="G18" s="1" t="n"/>
      <c r="H18" s="1" t="n"/>
      <c r="I18" s="1" t="inlineStr">
        <is>
          <t>AMD (más fuerte en CPUs y mercados generales)</t>
        </is>
      </c>
      <c r="J18" s="1" t="n"/>
      <c r="K18" s="1" t="n"/>
      <c r="L18" s="1" t="n"/>
    </row>
    <row r="19" ht="15" customHeight="1" s="45">
      <c r="B19" s="1" t="n"/>
      <c r="C19" s="1" t="n"/>
      <c r="D19" s="1" t="inlineStr">
        <is>
          <t>Intel</t>
        </is>
      </c>
      <c r="E19" s="1" t="n"/>
      <c r="F19" s="8" t="inlineStr">
        <is>
          <t>micron (único con cedear)</t>
        </is>
      </c>
      <c r="G19" s="1" t="n"/>
      <c r="H19" s="1" t="n"/>
      <c r="I19" s="1" t="inlineStr">
        <is>
          <t>Intel</t>
        </is>
      </c>
      <c r="J19" s="1" t="n"/>
      <c r="K19" s="1" t="n"/>
      <c r="L19" s="1" t="n"/>
    </row>
    <row r="20" ht="15" customHeight="1" s="45">
      <c r="D20" s="1" t="n"/>
      <c r="E20" s="1" t="n"/>
      <c r="F20" s="1" t="n"/>
      <c r="G20" s="1" t="n"/>
      <c r="H20" s="1" t="n"/>
      <c r="I20" s="1" t="n"/>
      <c r="J20" s="1" t="n"/>
      <c r="K20" s="1" t="n"/>
      <c r="L20" s="1" t="n"/>
    </row>
    <row r="21" ht="15" customHeight="1" s="45">
      <c r="B21" s="1" t="n"/>
      <c r="C21" s="1" t="n"/>
      <c r="D21" s="1" t="n"/>
      <c r="E21" s="1" t="n"/>
      <c r="F21" s="1" t="n"/>
      <c r="G21" s="1" t="n"/>
      <c r="H21" s="1" t="n"/>
      <c r="I21" s="1" t="n"/>
      <c r="J21" s="1" t="n"/>
      <c r="K21" s="1" t="n"/>
      <c r="L21" s="1" t="n"/>
    </row>
    <row r="22" ht="15" customHeight="1" s="45">
      <c r="B22" s="3" t="inlineStr">
        <is>
          <t>Fabricación de chips de networking (para transferencia de datos en servidores)</t>
        </is>
      </c>
      <c r="C22" s="1" t="n"/>
      <c r="D22" s="1" t="n"/>
      <c r="E22" s="1" t="n"/>
      <c r="F22" s="1" t="n"/>
      <c r="G22" s="1" t="n"/>
      <c r="H22" s="1" t="n"/>
      <c r="I22" s="1" t="n"/>
      <c r="J22" s="1" t="n"/>
      <c r="K22" s="1" t="n"/>
      <c r="L22" s="1" t="n"/>
    </row>
    <row r="23" ht="15" customHeight="1" s="45">
      <c r="B23" s="8" t="inlineStr">
        <is>
          <t>AVGO (domina en volumen con el 65% del mercado)</t>
        </is>
      </c>
      <c r="C23" s="1" t="n"/>
      <c r="D23" s="1" t="n"/>
      <c r="E23" s="1" t="n"/>
      <c r="F23" s="1" t="n"/>
      <c r="G23" s="1" t="n"/>
      <c r="H23" s="1" t="n"/>
      <c r="I23" s="1" t="n"/>
      <c r="J23" s="1" t="n"/>
      <c r="K23" s="1" t="n"/>
      <c r="L23" s="1" t="n"/>
    </row>
    <row r="24" ht="15" customHeight="1" s="45">
      <c r="B24" s="1" t="inlineStr">
        <is>
          <t>NVDA (domina en performance. Para IA)</t>
        </is>
      </c>
      <c r="C24" s="1" t="n"/>
      <c r="D24" s="1" t="n"/>
      <c r="E24" s="1" t="n"/>
      <c r="F24" s="1" t="n"/>
      <c r="G24" s="1" t="n"/>
      <c r="H24" s="1" t="n"/>
      <c r="I24" s="1" t="n"/>
      <c r="J24" s="1" t="n"/>
      <c r="K24" s="1" t="n"/>
      <c r="L24" s="1" t="n"/>
    </row>
  </sheetData>
  <pageMargins left="0.7" right="0.7" top="0.75" bottom="0.75" header="0.511811023622047" footer="0.511811023622047"/>
  <pageSetup orientation="portrait" paperSize="9" horizontalDpi="300" verticalDpi="300"/>
</worksheet>
</file>

<file path=xl/worksheets/sheet4.xml><?xml version="1.0" encoding="utf-8"?>
<worksheet xmlns="http://schemas.openxmlformats.org/spreadsheetml/2006/main">
  <sheetPr>
    <outlinePr summaryBelow="1" summaryRight="1"/>
    <pageSetUpPr/>
  </sheetPr>
  <dimension ref="A2:O54"/>
  <sheetViews>
    <sheetView topLeftCell="A2" zoomScale="75" zoomScaleNormal="75" workbookViewId="0">
      <selection activeCell="K14" sqref="K14"/>
    </sheetView>
  </sheetViews>
  <sheetFormatPr baseColWidth="10" defaultColWidth="14.42578125" defaultRowHeight="15" customHeight="1"/>
  <cols>
    <col width="3.42578125" customWidth="1" style="45" min="1" max="1"/>
    <col width="15.85546875" customWidth="1" style="45" min="2" max="2"/>
    <col width="12.7109375" customWidth="1" style="45" min="3" max="3"/>
    <col width="13.28515625" customWidth="1" style="45" min="4" max="4"/>
    <col width="12.7109375" customWidth="1" style="45" min="5" max="5"/>
    <col width="12.42578125" customWidth="1" style="45" min="6" max="6"/>
    <col width="12.5703125" customWidth="1" style="45" min="7" max="8"/>
    <col width="11.85546875" customWidth="1" style="45" min="9" max="9"/>
    <col width="13" customWidth="1" style="45" min="10" max="10"/>
    <col width="13.5703125" customWidth="1" style="45" min="11" max="11"/>
    <col width="13" customWidth="1" style="45" min="13" max="13"/>
    <col width="12" customWidth="1" style="45" min="14" max="14"/>
    <col width="15.5703125" customWidth="1" style="45" min="15" max="15"/>
  </cols>
  <sheetData>
    <row r="2" ht="15" customHeight="1" s="45">
      <c r="B2" s="9" t="inlineStr">
        <is>
          <t>% de ahorro por diferencia entre ingresos y total de gastos mensuales</t>
        </is>
      </c>
      <c r="H2" s="48" t="n"/>
    </row>
    <row r="3" ht="15" customHeight="1" s="45">
      <c r="A3" s="9" t="n"/>
      <c r="I3" s="10" t="n"/>
    </row>
    <row r="4" ht="15" customHeight="1" s="45">
      <c r="A4" s="9" t="n"/>
      <c r="B4" s="9" t="inlineStr">
        <is>
          <t>Concepto</t>
        </is>
      </c>
      <c r="C4" s="9" t="inlineStr">
        <is>
          <t>Enero</t>
        </is>
      </c>
      <c r="D4" s="9" t="inlineStr">
        <is>
          <t>Febrero</t>
        </is>
      </c>
      <c r="E4" s="9" t="inlineStr">
        <is>
          <t>Marzo</t>
        </is>
      </c>
      <c r="F4" s="9" t="inlineStr">
        <is>
          <t>Abril</t>
        </is>
      </c>
      <c r="G4" s="9" t="inlineStr">
        <is>
          <t>Mayo</t>
        </is>
      </c>
      <c r="H4" s="9" t="inlineStr">
        <is>
          <t>Junio</t>
        </is>
      </c>
      <c r="I4" s="9" t="inlineStr">
        <is>
          <t>Julio</t>
        </is>
      </c>
      <c r="J4" s="9" t="inlineStr">
        <is>
          <t>Agosto</t>
        </is>
      </c>
      <c r="K4" s="9" t="inlineStr">
        <is>
          <t>Septiembre</t>
        </is>
      </c>
      <c r="L4" s="9" t="inlineStr">
        <is>
          <t>Octubre</t>
        </is>
      </c>
      <c r="M4" s="9" t="inlineStr">
        <is>
          <t>Noviembre</t>
        </is>
      </c>
      <c r="N4" s="9" t="inlineStr">
        <is>
          <t>Diciembre</t>
        </is>
      </c>
    </row>
    <row r="5" ht="15" customHeight="1" s="45">
      <c r="A5" s="11" t="n"/>
      <c r="B5" s="11" t="inlineStr">
        <is>
          <t>Combi</t>
        </is>
      </c>
      <c r="C5" s="12" t="n">
        <v>110000</v>
      </c>
      <c r="D5" s="12" t="n"/>
      <c r="E5" s="12" t="n"/>
      <c r="F5" s="12" t="n">
        <v>104500</v>
      </c>
      <c r="G5" s="12" t="n">
        <v>110000</v>
      </c>
      <c r="H5" s="12" t="n">
        <v>52250</v>
      </c>
      <c r="I5" s="12" t="n">
        <v>132000</v>
      </c>
      <c r="J5" s="12" t="n">
        <v>120000</v>
      </c>
      <c r="K5" s="12" t="n">
        <v>132000</v>
      </c>
      <c r="L5" s="12" t="n"/>
      <c r="M5" s="12" t="n"/>
      <c r="N5" s="12" t="n"/>
    </row>
    <row r="6" ht="15" customHeight="1" s="45">
      <c r="A6" s="11" t="n"/>
      <c r="B6" s="11" t="inlineStr">
        <is>
          <t>Cochera</t>
        </is>
      </c>
      <c r="C6" s="12" t="n">
        <v>56000</v>
      </c>
      <c r="D6" s="12" t="n"/>
      <c r="E6" s="12" t="n"/>
      <c r="F6" s="12" t="n">
        <v>60000</v>
      </c>
      <c r="G6" s="12" t="n">
        <v>60000</v>
      </c>
      <c r="H6" s="12" t="n">
        <v>62000</v>
      </c>
      <c r="I6" s="12" t="n">
        <v>62000</v>
      </c>
      <c r="J6" s="12" t="n">
        <v>65000</v>
      </c>
      <c r="K6" s="12" t="n">
        <v>68000</v>
      </c>
      <c r="L6" s="12" t="n"/>
      <c r="M6" s="12" t="n"/>
      <c r="N6" s="12" t="n"/>
      <c r="O6" s="12" t="n"/>
    </row>
    <row r="7" ht="15" customHeight="1" s="45">
      <c r="B7" t="inlineStr">
        <is>
          <t>Expensas</t>
        </is>
      </c>
      <c r="C7" s="10" t="n">
        <v>98462</v>
      </c>
      <c r="D7" s="10" t="n">
        <v>98462</v>
      </c>
      <c r="E7" s="10" t="n">
        <v>98462</v>
      </c>
      <c r="F7" s="10" t="n">
        <v>98462</v>
      </c>
      <c r="G7" s="10" t="n">
        <v>98462</v>
      </c>
      <c r="H7" s="10" t="n">
        <v>98462</v>
      </c>
      <c r="I7" s="10" t="n">
        <v>171262</v>
      </c>
      <c r="J7" s="10" t="n">
        <v>171262</v>
      </c>
      <c r="K7" s="10" t="n">
        <v>171262</v>
      </c>
      <c r="L7" s="10" t="n"/>
      <c r="M7" s="10" t="n"/>
      <c r="N7" s="10" t="n"/>
    </row>
    <row r="8" ht="15" customHeight="1" s="45">
      <c r="A8" s="11" t="n"/>
      <c r="B8" s="11" t="inlineStr">
        <is>
          <t>Gimnasio</t>
        </is>
      </c>
      <c r="C8" s="12" t="n">
        <v>0</v>
      </c>
      <c r="D8" s="12" t="n">
        <v>0</v>
      </c>
      <c r="E8" s="12" t="n">
        <v>25000</v>
      </c>
      <c r="F8" s="12" t="n">
        <v>28000</v>
      </c>
      <c r="G8" s="12" t="n">
        <v>28000</v>
      </c>
      <c r="H8" s="12" t="inlineStr">
        <is>
          <t>-</t>
        </is>
      </c>
      <c r="I8" s="12" t="n">
        <v>28000</v>
      </c>
      <c r="J8" s="12" t="n">
        <v>31000</v>
      </c>
      <c r="K8" s="12" t="n">
        <v>31000</v>
      </c>
      <c r="L8" s="12" t="n"/>
      <c r="M8" s="12" t="n"/>
      <c r="N8" s="12" t="n"/>
    </row>
    <row r="9" ht="15" customHeight="1" s="45">
      <c r="B9" s="13" t="inlineStr">
        <is>
          <t>Extracciones BNA</t>
        </is>
      </c>
      <c r="C9" s="14" t="n">
        <v>383279</v>
      </c>
      <c r="D9" s="14" t="n">
        <v>2381136</v>
      </c>
      <c r="E9" s="14" t="n">
        <v>1034425</v>
      </c>
      <c r="F9" s="15" t="n">
        <v>0</v>
      </c>
      <c r="G9" s="15" t="n">
        <v>0</v>
      </c>
      <c r="H9" s="14" t="n">
        <v>320000</v>
      </c>
      <c r="I9" s="14" t="n">
        <v>1912000</v>
      </c>
      <c r="J9" s="15" t="n"/>
      <c r="K9" s="14" t="n"/>
      <c r="L9" s="14" t="n"/>
      <c r="M9" s="10" t="n"/>
      <c r="N9" s="10" t="n"/>
    </row>
    <row r="10" ht="15" customHeight="1" s="45">
      <c r="B10" s="13" t="inlineStr">
        <is>
          <t>Pagos MP</t>
        </is>
      </c>
      <c r="C10" s="14" t="n">
        <v>120469</v>
      </c>
      <c r="D10" s="14" t="n">
        <v>781136</v>
      </c>
      <c r="E10" s="14" t="n">
        <v>2916845</v>
      </c>
      <c r="F10" s="14" t="n">
        <v>187785</v>
      </c>
      <c r="G10" s="14" t="n">
        <v>1071200</v>
      </c>
      <c r="H10" s="14" t="n">
        <v>58797</v>
      </c>
      <c r="I10" s="14" t="n">
        <v>139509</v>
      </c>
      <c r="J10" s="15" t="n"/>
      <c r="K10" s="14" t="n"/>
      <c r="L10" s="14" t="n"/>
      <c r="M10" s="10" t="n"/>
      <c r="N10" s="10" t="n"/>
    </row>
    <row r="11" ht="15" customHeight="1" s="45">
      <c r="B11" s="13" t="inlineStr">
        <is>
          <t>Tarjeta BNA</t>
        </is>
      </c>
      <c r="C11" s="14" t="n">
        <v>422870.52</v>
      </c>
      <c r="D11" s="14" t="n">
        <v>517597.1</v>
      </c>
      <c r="E11" s="14" t="n">
        <v>227149.34</v>
      </c>
      <c r="F11" s="14" t="n">
        <v>415399</v>
      </c>
      <c r="G11" s="14" t="n">
        <v>185526.33</v>
      </c>
      <c r="H11" s="14" t="n">
        <v>310596.28</v>
      </c>
      <c r="I11" s="14" t="n">
        <v>396791.56</v>
      </c>
      <c r="J11" s="14" t="n">
        <v>114108.36</v>
      </c>
      <c r="K11" s="14" t="n"/>
      <c r="L11" s="14" t="n"/>
      <c r="M11" s="10" t="n"/>
      <c r="N11" s="10" t="n"/>
    </row>
    <row r="12" ht="15" customHeight="1" s="45">
      <c r="B12" s="13" t="inlineStr">
        <is>
          <t>Tarjeta Provincia</t>
        </is>
      </c>
      <c r="C12" s="14" t="n">
        <v>310204.5</v>
      </c>
      <c r="D12" s="14" t="n">
        <v>271022</v>
      </c>
      <c r="E12" s="14" t="n">
        <v>315253</v>
      </c>
      <c r="F12" s="14" t="n">
        <v>315797.65</v>
      </c>
      <c r="G12" s="14" t="n">
        <v>346064.62</v>
      </c>
      <c r="H12" s="14" t="n">
        <v>275791.68</v>
      </c>
      <c r="I12" s="14" t="n">
        <v>247228.5</v>
      </c>
      <c r="J12" s="14" t="n">
        <v>414288.89</v>
      </c>
      <c r="K12" s="14" t="n">
        <v>266186</v>
      </c>
      <c r="L12" s="14" t="n"/>
      <c r="M12" s="10" t="n"/>
      <c r="N12" s="10" t="n"/>
    </row>
    <row r="13" ht="15" customHeight="1" s="45">
      <c r="A13" s="16" t="n"/>
      <c r="B13" s="16" t="inlineStr">
        <is>
          <t>Total Gastos</t>
        </is>
      </c>
      <c r="C13" s="17">
        <f>C7+C9+C10+C11+C12</f>
        <v/>
      </c>
      <c r="D13" s="17">
        <f>D7+D9+D10+D11+D12</f>
        <v/>
      </c>
      <c r="E13" s="17">
        <f>E7+E9+E10+E11+E12</f>
        <v/>
      </c>
      <c r="F13" s="17">
        <f>F7+F9+F10+F11+F12</f>
        <v/>
      </c>
      <c r="G13" s="17">
        <f>G7+G9+G10+G11+G12</f>
        <v/>
      </c>
      <c r="H13" s="17">
        <f>H7+H9+H10+H11+H12</f>
        <v/>
      </c>
      <c r="I13" s="17">
        <f>I7+I9+I10+I11+I12</f>
        <v/>
      </c>
      <c r="J13" s="17">
        <f>J7+J9+J10+J11+J12</f>
        <v/>
      </c>
      <c r="K13" s="17">
        <f>K7+K9+K10+K11+K12</f>
        <v/>
      </c>
      <c r="L13" s="17">
        <f>L7+L9+L10+L11+L12</f>
        <v/>
      </c>
      <c r="M13" s="17">
        <f>M7+M9+M10+M11+M12</f>
        <v/>
      </c>
      <c r="N13" s="17">
        <f>N7+N9+N10+N11+N12</f>
        <v/>
      </c>
      <c r="O13" s="48">
        <f>SUM(C13:N13)</f>
        <v/>
      </c>
    </row>
    <row r="14" ht="15" customHeight="1" s="45">
      <c r="B14" t="inlineStr">
        <is>
          <t>Ingresos</t>
        </is>
      </c>
      <c r="C14" s="10">
        <f>787320+3091398.48+3210705.36</f>
        <v/>
      </c>
      <c r="D14" s="10" t="n">
        <v>7375794.97</v>
      </c>
      <c r="E14" s="10" t="n">
        <v>3897934.77</v>
      </c>
      <c r="F14" s="10" t="n">
        <v>3767805.3</v>
      </c>
      <c r="G14" s="10" t="n">
        <v>5071881.03</v>
      </c>
      <c r="H14" s="10" t="n">
        <v>4640475.93</v>
      </c>
      <c r="I14" s="10" t="n">
        <v>8087055.33</v>
      </c>
      <c r="J14" s="18" t="n">
        <v>5129394.84</v>
      </c>
      <c r="K14" s="18" t="n"/>
      <c r="L14" s="18" t="n"/>
      <c r="M14" s="18" t="n"/>
      <c r="N14" s="18" t="n"/>
      <c r="O14" s="48">
        <f>SUM(C14:N14)</f>
        <v/>
      </c>
    </row>
    <row r="15" ht="15" customHeight="1" s="45">
      <c r="A15" s="19" t="n"/>
      <c r="B15" s="19" t="inlineStr">
        <is>
          <t>Ahorro</t>
        </is>
      </c>
      <c r="C15" s="20">
        <f>C14-C13</f>
        <v/>
      </c>
      <c r="D15" s="20">
        <f>D14-D13</f>
        <v/>
      </c>
      <c r="E15" s="20">
        <f>E14-E13</f>
        <v/>
      </c>
      <c r="F15" s="20">
        <f>F14-F13</f>
        <v/>
      </c>
      <c r="G15" s="20">
        <f>G14-G13</f>
        <v/>
      </c>
      <c r="H15" s="20">
        <f>H14-H13</f>
        <v/>
      </c>
      <c r="I15" s="20">
        <f>I14-I13</f>
        <v/>
      </c>
      <c r="J15" s="21">
        <f>J14-J13</f>
        <v/>
      </c>
      <c r="K15" s="21">
        <f>K14-K13</f>
        <v/>
      </c>
      <c r="L15" s="21">
        <f>L14-L13</f>
        <v/>
      </c>
      <c r="M15" s="21">
        <f>M14-M13</f>
        <v/>
      </c>
      <c r="N15" s="21">
        <f>N14-N13</f>
        <v/>
      </c>
      <c r="O15" s="48">
        <f>SUM(C15:N15)</f>
        <v/>
      </c>
    </row>
    <row r="16" ht="15" customHeight="1" s="45">
      <c r="A16" s="19" t="n"/>
      <c r="B16" s="19" t="inlineStr">
        <is>
          <t>% Ahorro</t>
        </is>
      </c>
      <c r="C16" s="49">
        <f>C15/C14</f>
        <v/>
      </c>
      <c r="D16" s="49">
        <f>D15/D14</f>
        <v/>
      </c>
      <c r="E16" s="49">
        <f>E15/E14</f>
        <v/>
      </c>
      <c r="F16" s="49">
        <f>F15/F14</f>
        <v/>
      </c>
      <c r="G16" s="49">
        <f>G15/G14</f>
        <v/>
      </c>
      <c r="H16" s="49">
        <f>H15/H14</f>
        <v/>
      </c>
      <c r="I16" s="49">
        <f>I15/I14</f>
        <v/>
      </c>
      <c r="J16" s="49">
        <f>J15/J14</f>
        <v/>
      </c>
      <c r="K16" s="49">
        <f>K15/K14</f>
        <v/>
      </c>
      <c r="L16" s="49">
        <f>L15/L14</f>
        <v/>
      </c>
      <c r="M16" s="49">
        <f>M15/M14</f>
        <v/>
      </c>
      <c r="N16" s="49">
        <f>N15/N14</f>
        <v/>
      </c>
      <c r="O16" s="49">
        <f>O15/O14</f>
        <v/>
      </c>
    </row>
    <row r="17" ht="15" customHeight="1" s="45">
      <c r="D17" t="inlineStr">
        <is>
          <t>pago salon casamiento</t>
        </is>
      </c>
      <c r="E17" t="inlineStr">
        <is>
          <t>pago 1ra cuota casamiento</t>
        </is>
      </c>
    </row>
    <row r="18" ht="15" customHeight="1" s="45">
      <c r="B18" s="9" t="inlineStr">
        <is>
          <t>* Los rojos no se suman porque los pago en efectivo. Ya están contemplados en las extracciones</t>
        </is>
      </c>
      <c r="I18" s="10" t="n"/>
    </row>
    <row r="20" ht="15" customHeight="1" s="45">
      <c r="D20" s="22" t="inlineStr">
        <is>
          <t>BNA</t>
        </is>
      </c>
      <c r="F20" s="9" t="n"/>
      <c r="G20" s="9" t="n"/>
      <c r="H20" s="9" t="n"/>
    </row>
    <row r="21" ht="15" customHeight="1" s="45">
      <c r="F21" s="46" t="n"/>
      <c r="H21" s="46" t="inlineStr">
        <is>
          <t>agosto</t>
        </is>
      </c>
    </row>
    <row r="22" ht="15" customHeight="1" s="45">
      <c r="F22" s="46" t="n"/>
      <c r="H22" s="46" t="n">
        <v>300000</v>
      </c>
    </row>
    <row r="23" ht="15" customHeight="1" s="45">
      <c r="F23" s="46" t="n"/>
      <c r="H23" s="46" t="n">
        <v>170000</v>
      </c>
    </row>
    <row r="24" ht="15" customHeight="1" s="45">
      <c r="F24" s="46" t="n"/>
      <c r="H24" s="46" t="n"/>
    </row>
    <row r="25" ht="15" customHeight="1" s="45">
      <c r="D25" s="22" t="inlineStr">
        <is>
          <t>MercadoPago</t>
        </is>
      </c>
      <c r="F25" s="46" t="n"/>
      <c r="H25" s="46" t="n"/>
    </row>
    <row r="26" ht="15" customHeight="1" s="45">
      <c r="D26" t="inlineStr">
        <is>
          <t>abril</t>
        </is>
      </c>
      <c r="E26" t="inlineStr">
        <is>
          <t>mayo</t>
        </is>
      </c>
      <c r="F26" s="46" t="inlineStr">
        <is>
          <t>junio</t>
        </is>
      </c>
      <c r="G26" t="inlineStr">
        <is>
          <t>julio</t>
        </is>
      </c>
      <c r="H26" s="46" t="inlineStr">
        <is>
          <t>ago</t>
        </is>
      </c>
    </row>
    <row r="27" ht="15" customHeight="1" s="45">
      <c r="D27" t="n">
        <v>4500</v>
      </c>
      <c r="E27" t="n">
        <v>275000</v>
      </c>
      <c r="F27" s="46" t="n">
        <v>2600</v>
      </c>
      <c r="G27" s="46" t="n">
        <v>50000</v>
      </c>
      <c r="H27" s="46" t="n">
        <v>3400</v>
      </c>
      <c r="K27" s="46" t="n"/>
    </row>
    <row r="28" ht="15" customHeight="1" s="45">
      <c r="D28" t="n">
        <v>11000</v>
      </c>
      <c r="E28" t="n">
        <v>5000</v>
      </c>
      <c r="F28" s="46" t="n">
        <v>35000</v>
      </c>
      <c r="G28" s="46" t="n">
        <v>4500</v>
      </c>
      <c r="H28" s="46" t="n">
        <v>11659</v>
      </c>
      <c r="K28" s="46" t="n"/>
    </row>
    <row r="29" ht="15" customHeight="1" s="45">
      <c r="D29" t="n">
        <v>74600</v>
      </c>
      <c r="E29" t="n">
        <v>7600</v>
      </c>
      <c r="F29" s="46" t="n">
        <v>9197</v>
      </c>
      <c r="G29" t="n">
        <v>4500</v>
      </c>
      <c r="H29" s="46" t="n">
        <v>7300</v>
      </c>
    </row>
    <row r="30" ht="15" customHeight="1" s="45">
      <c r="D30" t="n">
        <v>9000</v>
      </c>
      <c r="E30" t="n">
        <v>4000</v>
      </c>
      <c r="F30" s="46" t="n">
        <v>12000</v>
      </c>
      <c r="G30" t="n">
        <v>8500</v>
      </c>
      <c r="H30" s="46" t="n">
        <v>12000</v>
      </c>
    </row>
    <row r="31" ht="15" customHeight="1" s="45">
      <c r="D31" t="n">
        <v>4000</v>
      </c>
      <c r="E31" t="n">
        <v>17300</v>
      </c>
      <c r="F31" s="46">
        <f>SUM(F27:F30)</f>
        <v/>
      </c>
      <c r="G31" t="n">
        <v>11500</v>
      </c>
      <c r="H31" s="46" t="n">
        <v>3000</v>
      </c>
    </row>
    <row r="32" ht="15" customHeight="1" s="45">
      <c r="B32" s="9" t="n"/>
      <c r="C32" s="9" t="n"/>
      <c r="D32" t="n">
        <v>4200</v>
      </c>
      <c r="E32" t="n">
        <v>8400</v>
      </c>
      <c r="G32" t="n">
        <v>7200</v>
      </c>
      <c r="H32" s="46" t="n">
        <v>3400</v>
      </c>
    </row>
    <row r="33" ht="15" customHeight="1" s="45">
      <c r="C33" s="9" t="n"/>
      <c r="D33" t="n">
        <v>16920</v>
      </c>
      <c r="E33" t="n">
        <v>2800</v>
      </c>
      <c r="F33" s="46" t="n"/>
      <c r="G33" t="n">
        <v>107397</v>
      </c>
      <c r="H33" s="46" t="n">
        <v>7908</v>
      </c>
    </row>
    <row r="34" ht="15" customHeight="1" s="45">
      <c r="C34" s="9" t="n"/>
      <c r="D34" t="n">
        <v>14000</v>
      </c>
      <c r="E34" t="n">
        <v>14500</v>
      </c>
      <c r="F34" s="46" t="n"/>
      <c r="G34" t="n">
        <v>6000</v>
      </c>
      <c r="H34" s="46" t="n">
        <v>-17000</v>
      </c>
    </row>
    <row r="35" ht="15" customHeight="1" s="45">
      <c r="C35" s="9" t="n"/>
      <c r="D35" t="n">
        <v>4500</v>
      </c>
      <c r="E35" t="n">
        <v>40000</v>
      </c>
      <c r="G35" t="n">
        <v>6100</v>
      </c>
      <c r="H35" s="46" t="n">
        <v>7700</v>
      </c>
    </row>
    <row r="36" ht="15" customHeight="1" s="45">
      <c r="C36" s="9" t="n"/>
      <c r="D36" t="n">
        <v>13745</v>
      </c>
      <c r="E36" t="n">
        <v>18000</v>
      </c>
      <c r="G36" t="n">
        <v>10000</v>
      </c>
      <c r="H36" s="46" t="n">
        <v>3400</v>
      </c>
    </row>
    <row r="37" ht="15" customHeight="1" s="45">
      <c r="C37" s="9" t="n"/>
      <c r="D37" t="n">
        <v>15700</v>
      </c>
      <c r="E37" t="n">
        <v>28000</v>
      </c>
      <c r="G37" t="n">
        <v>55000</v>
      </c>
      <c r="H37" s="46">
        <f>SUM(H27:H36)</f>
        <v/>
      </c>
    </row>
    <row r="38" ht="15" customHeight="1" s="45">
      <c r="C38" s="9" t="n"/>
      <c r="D38" t="n">
        <v>11120</v>
      </c>
      <c r="E38" t="n">
        <v>-34000</v>
      </c>
      <c r="G38" t="n">
        <v>1700</v>
      </c>
      <c r="H38" s="46" t="n"/>
    </row>
    <row r="39" ht="15" customHeight="1" s="45">
      <c r="C39" s="9" t="n"/>
      <c r="D39" t="n">
        <v>4500</v>
      </c>
      <c r="E39" t="n">
        <v>5800</v>
      </c>
      <c r="G39" t="n">
        <v>19900</v>
      </c>
      <c r="H39" s="46" t="n"/>
    </row>
    <row r="40" ht="15" customHeight="1" s="45">
      <c r="C40" s="9" t="n"/>
      <c r="D40">
        <f>SUM(D27:D39)</f>
        <v/>
      </c>
      <c r="E40" t="n">
        <v>65000</v>
      </c>
      <c r="G40" t="n">
        <v>2212</v>
      </c>
      <c r="H40" s="46" t="n"/>
    </row>
    <row r="41" ht="15" customHeight="1" s="45">
      <c r="C41" s="9" t="n"/>
      <c r="E41" t="n">
        <v>189000</v>
      </c>
      <c r="F41" s="46" t="n"/>
      <c r="G41" t="n">
        <v>1400</v>
      </c>
      <c r="H41" s="46" t="n"/>
    </row>
    <row r="42" ht="15" customHeight="1" s="45">
      <c r="C42" s="9" t="n"/>
      <c r="E42" t="n">
        <v>19800</v>
      </c>
      <c r="G42" t="n">
        <v>-99000</v>
      </c>
      <c r="H42" s="46" t="n"/>
    </row>
    <row r="43" ht="15" customHeight="1" s="45">
      <c r="C43" s="9" t="n"/>
      <c r="E43" t="n">
        <v>275000</v>
      </c>
      <c r="G43" t="n">
        <v>-65000</v>
      </c>
      <c r="H43" s="46" t="n"/>
    </row>
    <row r="44" ht="15" customHeight="1" s="45">
      <c r="B44" s="9" t="n"/>
      <c r="C44" s="9" t="n"/>
      <c r="E44" t="n">
        <v>130000</v>
      </c>
      <c r="G44" s="22" t="n">
        <v>7600</v>
      </c>
      <c r="H44" s="46" t="n"/>
    </row>
    <row r="45" ht="15" customHeight="1" s="45">
      <c r="C45" s="9" t="n"/>
      <c r="E45">
        <f>SUM(E27:E44)</f>
        <v/>
      </c>
      <c r="G45" s="46">
        <f>SUM(G27:G44)</f>
        <v/>
      </c>
      <c r="H45" s="46" t="n"/>
    </row>
    <row r="46" ht="15" customHeight="1" s="45">
      <c r="C46" s="9" t="n"/>
      <c r="H46" s="46" t="n"/>
    </row>
    <row r="47" ht="15" customHeight="1" s="45">
      <c r="C47" s="9" t="n"/>
      <c r="H47" s="46" t="n"/>
    </row>
    <row r="48" ht="15" customHeight="1" s="45">
      <c r="C48" s="9" t="n"/>
      <c r="H48" s="46" t="n"/>
    </row>
    <row r="49" ht="15" customHeight="1" s="45">
      <c r="C49" s="9" t="n"/>
      <c r="H49" s="46" t="n"/>
    </row>
    <row r="50" ht="15" customHeight="1" s="45">
      <c r="C50" s="9" t="n"/>
      <c r="H50" s="46" t="n"/>
    </row>
    <row r="51" ht="15" customHeight="1" s="45">
      <c r="H51" s="46" t="n"/>
    </row>
    <row r="52" ht="15" customHeight="1" s="45">
      <c r="H52" s="46" t="n"/>
    </row>
    <row r="53" ht="15" customHeight="1" s="45">
      <c r="H53" s="46" t="n"/>
    </row>
    <row r="54" ht="15" customHeight="1" s="45">
      <c r="H54" s="46" t="n"/>
    </row>
  </sheetData>
  <pageMargins left="0.7" right="0.7" top="0.75" bottom="0.75" header="0.511811023622047" footer="0.511811023622047"/>
  <pageSetup orientation="portrait" paperSize="9" horizontalDpi="300" verticalDpi="300"/>
</worksheet>
</file>

<file path=xl/worksheets/sheet5.xml><?xml version="1.0" encoding="utf-8"?>
<worksheet xmlns="http://schemas.openxmlformats.org/spreadsheetml/2006/main">
  <sheetPr>
    <outlinePr summaryBelow="1" summaryRight="1"/>
    <pageSetUpPr/>
  </sheetPr>
  <dimension ref="A2:J20"/>
  <sheetViews>
    <sheetView zoomScale="75" zoomScaleNormal="75" workbookViewId="0">
      <selection activeCell="B3" sqref="B3"/>
    </sheetView>
  </sheetViews>
  <sheetFormatPr baseColWidth="10" defaultColWidth="10.7109375" defaultRowHeight="15" customHeight="1"/>
  <cols>
    <col width="11.42578125" customWidth="1" style="45" min="2" max="2"/>
    <col width="15.5703125" customWidth="1" style="45" min="3" max="3"/>
    <col width="12" customWidth="1" style="45" min="4" max="4"/>
    <col hidden="1" width="11.5703125" customWidth="1" style="45" min="5" max="5"/>
    <col width="21.42578125" customWidth="1" style="45" min="6" max="6"/>
    <col width="15.42578125" customWidth="1" style="45" min="10" max="10"/>
  </cols>
  <sheetData>
    <row r="2" ht="15" customHeight="1" s="45">
      <c r="B2" s="9" t="inlineStr">
        <is>
          <t>Transferencias a IEB</t>
        </is>
      </c>
      <c r="C2" s="9" t="n"/>
      <c r="D2" s="9" t="n"/>
      <c r="E2" s="9" t="n"/>
      <c r="F2" s="9" t="n"/>
    </row>
    <row r="3" ht="15" customHeight="1" s="45">
      <c r="B3" s="9" t="n"/>
      <c r="C3" s="44" t="inlineStr">
        <is>
          <t>Monto</t>
        </is>
      </c>
      <c r="E3" s="9" t="n"/>
      <c r="F3" s="9" t="n"/>
    </row>
    <row r="4" ht="15" customHeight="1" s="45">
      <c r="B4" s="9" t="inlineStr">
        <is>
          <t>Fecha</t>
        </is>
      </c>
      <c r="C4" s="9" t="inlineStr">
        <is>
          <t>$</t>
        </is>
      </c>
      <c r="D4" s="9" t="inlineStr">
        <is>
          <t>u$d</t>
        </is>
      </c>
      <c r="E4" s="9" t="inlineStr">
        <is>
          <t>Días transcurridos</t>
        </is>
      </c>
      <c r="F4" s="9" t="inlineStr">
        <is>
          <t>Ahorro estimado anual</t>
        </is>
      </c>
    </row>
    <row r="5" ht="15" customHeight="1" s="45">
      <c r="B5" s="23" t="n">
        <v>46024</v>
      </c>
      <c r="C5" s="48" t="n">
        <v>3680</v>
      </c>
      <c r="D5" s="48">
        <f>$C5/VLOOKUP($B5,#REF!,2,FALSE())</f>
        <v/>
      </c>
    </row>
    <row r="6" ht="15" customHeight="1" s="45">
      <c r="B6" s="23" t="n">
        <v>46035</v>
      </c>
      <c r="C6" s="48" t="n">
        <v>900000</v>
      </c>
      <c r="D6" s="48">
        <f>$C6/VLOOKUP($B6,#REF!,2,FALSE())</f>
        <v/>
      </c>
      <c r="I6" t="inlineStr">
        <is>
          <t>Enero</t>
        </is>
      </c>
      <c r="J6" s="50" t="n">
        <v>9153680</v>
      </c>
    </row>
    <row r="7" ht="15" customHeight="1" s="45">
      <c r="B7" s="23" t="n">
        <v>46037</v>
      </c>
      <c r="C7" s="48" t="n">
        <v>3750000</v>
      </c>
      <c r="D7" s="48">
        <f>$C7/VLOOKUP($B7,#REF!,2,FALSE())</f>
        <v/>
      </c>
      <c r="I7" t="inlineStr">
        <is>
          <t>Febrero</t>
        </is>
      </c>
      <c r="J7" s="50" t="n">
        <v>3360000</v>
      </c>
    </row>
    <row r="8" ht="15" customHeight="1" s="45">
      <c r="B8" s="23" t="n">
        <v>46043</v>
      </c>
      <c r="C8" s="48" t="n">
        <v>4500000</v>
      </c>
      <c r="D8" s="48">
        <f>$C8/VLOOKUP($B8,#REF!,2,FALSE())</f>
        <v/>
      </c>
      <c r="I8" t="inlineStr">
        <is>
          <t>Marzo</t>
        </is>
      </c>
      <c r="J8" s="50" t="n">
        <v>4400000</v>
      </c>
    </row>
    <row r="9" ht="15" customHeight="1" s="45">
      <c r="A9" s="22" t="inlineStr">
        <is>
          <t>desde cocos</t>
        </is>
      </c>
      <c r="B9" s="24" t="n">
        <v>46051</v>
      </c>
      <c r="C9" s="51" t="n">
        <v>6000000</v>
      </c>
      <c r="D9" s="51">
        <f>$C9/VLOOKUP($B9,#REF!,2,FALSE())</f>
        <v/>
      </c>
      <c r="I9" t="inlineStr">
        <is>
          <t>Abril</t>
        </is>
      </c>
      <c r="J9" s="50" t="n">
        <v>4302000</v>
      </c>
    </row>
    <row r="10" ht="15" customHeight="1" s="45">
      <c r="A10" s="22" t="inlineStr">
        <is>
          <t>desde cocos</t>
        </is>
      </c>
      <c r="B10" s="24" t="n">
        <v>46052</v>
      </c>
      <c r="C10" s="51" t="n">
        <v>2800000</v>
      </c>
      <c r="D10" s="51">
        <f>$C10/VLOOKUP($B10,#REF!,2,FALSE())</f>
        <v/>
      </c>
    </row>
    <row r="11" ht="15" customHeight="1" s="45">
      <c r="B11" s="23" t="n">
        <v>46056</v>
      </c>
      <c r="C11" s="48" t="n">
        <v>760000</v>
      </c>
      <c r="D11" s="48">
        <f>$C11/VLOOKUP($B11,#REF!,2,FALSE())</f>
        <v/>
      </c>
    </row>
    <row r="12" ht="15" customHeight="1" s="45">
      <c r="A12" s="22" t="inlineStr">
        <is>
          <t>desde cocos</t>
        </is>
      </c>
      <c r="B12" s="24" t="n">
        <v>46059</v>
      </c>
      <c r="C12" s="51" t="n">
        <v>6828000</v>
      </c>
      <c r="D12" s="51">
        <f>$C12/VLOOKUP($B12,#REF!,2,FALSE())</f>
        <v/>
      </c>
    </row>
    <row r="13" ht="15" customHeight="1" s="45">
      <c r="A13" s="22" t="inlineStr">
        <is>
          <t>desde cocos</t>
        </is>
      </c>
      <c r="B13" s="24" t="n">
        <v>46064</v>
      </c>
      <c r="C13" s="51" t="n">
        <v>1400000</v>
      </c>
      <c r="D13" s="51">
        <f>$C13/VLOOKUP($B13,#REF!,2,FALSE())</f>
        <v/>
      </c>
    </row>
    <row r="14" ht="15" customHeight="1" s="45">
      <c r="B14" s="23" t="n">
        <v>46066</v>
      </c>
      <c r="C14" s="48" t="n">
        <v>2600000</v>
      </c>
      <c r="D14" s="48">
        <f>$C14/VLOOKUP($B14,#REF!,2,FALSE())</f>
        <v/>
      </c>
    </row>
    <row r="15" ht="15" customHeight="1" s="45">
      <c r="B15" s="23" t="n">
        <v>46083</v>
      </c>
      <c r="C15" s="48" t="n">
        <v>1100000</v>
      </c>
      <c r="D15" s="48">
        <f>$C15/VLOOKUP($B15,#REF!,2,FALSE())</f>
        <v/>
      </c>
    </row>
    <row r="16" ht="15" customHeight="1" s="45">
      <c r="B16" s="23" t="n">
        <v>46094</v>
      </c>
      <c r="C16" s="48" t="n">
        <v>3300000</v>
      </c>
      <c r="D16" s="48">
        <f>$C16/VLOOKUP($B16,#REF!,2,FALSE())</f>
        <v/>
      </c>
    </row>
    <row r="17" ht="15" customHeight="1" s="45">
      <c r="B17" s="23" t="n">
        <v>46113</v>
      </c>
      <c r="C17" s="48" t="n">
        <v>1000000</v>
      </c>
      <c r="D17" s="48">
        <f>$C17/VLOOKUP($B17,#REF!,2,FALSE())</f>
        <v/>
      </c>
    </row>
    <row r="18" ht="15" customHeight="1" s="45">
      <c r="B18" s="23" t="n">
        <v>46125</v>
      </c>
      <c r="C18" s="48" t="n">
        <v>2000</v>
      </c>
      <c r="D18" s="48">
        <f>$C18/VLOOKUP($B18,#REF!,2,FALSE())</f>
        <v/>
      </c>
    </row>
    <row r="19" ht="15" customHeight="1" s="45">
      <c r="B19" s="23" t="n">
        <v>46127</v>
      </c>
      <c r="C19" s="48" t="n">
        <v>3300000</v>
      </c>
      <c r="D19" s="48">
        <f>$C19/VLOOKUP($B19,#REF!,2,FALSE())</f>
        <v/>
      </c>
    </row>
    <row r="20" ht="15" customHeight="1" s="45">
      <c r="C20" s="52">
        <f>SUM(C5:C19)</f>
        <v/>
      </c>
      <c r="D20" s="52">
        <f>SUM(D5:D19)</f>
        <v/>
      </c>
      <c r="E20" s="9">
        <f>(TODAY() - DATE(2026,1,1) + 1)</f>
        <v/>
      </c>
      <c r="F20" s="52">
        <f>(D20/E20)*365</f>
        <v/>
      </c>
    </row>
  </sheetData>
  <mergeCells count="1">
    <mergeCell ref="C3:D3"/>
  </mergeCells>
  <pageMargins left="0.7" right="0.7" top="0.75" bottom="0.75" header="0.511811023622047" footer="0.511811023622047"/>
  <pageSetup orientation="portrait" paperSize="9" horizontalDpi="300" verticalDpi="300"/>
</worksheet>
</file>

<file path=xl/worksheets/sheet6.xml><?xml version="1.0" encoding="utf-8"?>
<worksheet xmlns="http://schemas.openxmlformats.org/spreadsheetml/2006/main">
  <sheetPr>
    <outlinePr summaryBelow="1" summaryRight="1"/>
    <pageSetUpPr/>
  </sheetPr>
  <dimension ref="B2:G56"/>
  <sheetViews>
    <sheetView topLeftCell="A36" zoomScale="75" zoomScaleNormal="75" workbookViewId="0">
      <selection activeCell="A20" sqref="A20"/>
    </sheetView>
  </sheetViews>
  <sheetFormatPr baseColWidth="10" defaultColWidth="10.7109375" defaultRowHeight="15" customHeight="1"/>
  <cols>
    <col width="113" customWidth="1" style="7" min="3" max="3"/>
    <col width="20.85546875" customWidth="1" style="45" min="4" max="4"/>
    <col width="15.5703125" customWidth="1" style="45" min="6" max="10"/>
    <col width="12" customWidth="1" style="45" min="11" max="11"/>
  </cols>
  <sheetData>
    <row r="2" ht="15" customHeight="1" s="45">
      <c r="B2" s="9" t="inlineStr">
        <is>
          <t>Fecha</t>
        </is>
      </c>
      <c r="C2" s="25" t="inlineStr">
        <is>
          <t>Anotaciones</t>
        </is>
      </c>
      <c r="D2" s="9" t="inlineStr">
        <is>
          <t>Tipo anotación</t>
        </is>
      </c>
    </row>
    <row r="3" ht="23.85" customHeight="1" s="45">
      <c r="B3" s="53" t="n">
        <v>45658</v>
      </c>
      <c r="C3" s="7" t="inlineStr">
        <is>
          <t>Comienzo el año con una cartera bastante agresiva. Con un 30-30-30% aproximadamente en cedears (SPY y QQQ), argy (energéticas + FCI oil &amp; gas -Delta recursos naturales-) y bonos soberanos largos (y FCI cer + duales -FCI IAM renta plus-)</t>
        </is>
      </c>
      <c r="D3" t="inlineStr">
        <is>
          <t>Inicio de año</t>
        </is>
      </c>
    </row>
    <row r="4" ht="15" customHeight="1" s="45">
      <c r="B4" s="53" t="n">
        <v>45796</v>
      </c>
      <c r="C4" s="7" t="inlineStr">
        <is>
          <t>Elecciones legislativas en CABA con malos resultados para LLA. Empieza a caer el Merval</t>
        </is>
      </c>
      <c r="D4" t="inlineStr">
        <is>
          <t>Elecciones</t>
        </is>
      </c>
    </row>
    <row r="5" ht="15" customHeight="1" s="45">
      <c r="B5" s="53" t="n">
        <v>45869</v>
      </c>
      <c r="C5" s="7" t="inlineStr">
        <is>
          <t>Rotación de cedears (SPY y QQQ) a Lecaps</t>
        </is>
      </c>
      <c r="D5" t="inlineStr">
        <is>
          <t>Rotaciones</t>
        </is>
      </c>
    </row>
    <row r="6" ht="23.85" customHeight="1" s="45">
      <c r="B6" s="53" t="n">
        <v>45890</v>
      </c>
      <c r="C6" s="7" t="inlineStr">
        <is>
          <t>Empiezo a armar una cartera de cedears poniendo foco en activos defensivos (BRKB + XLV), commodities, pequeño % en Brasil, BTC y lo restante en empresas tecnológicas</t>
        </is>
      </c>
      <c r="D6" t="inlineStr">
        <is>
          <t>Armado cartera</t>
        </is>
      </c>
    </row>
    <row r="7" ht="15" customHeight="1" s="45">
      <c r="B7" s="53" t="n">
        <v>45907</v>
      </c>
      <c r="C7" s="7" t="inlineStr">
        <is>
          <t>Elecciones legislativas provincia Buenos Aires con malos resultados para LLA. Empieza a caer el Merval</t>
        </is>
      </c>
      <c r="D7" t="inlineStr">
        <is>
          <t>Elecciones</t>
        </is>
      </c>
    </row>
    <row r="8" ht="15" customHeight="1" s="45">
      <c r="B8" s="53" t="n">
        <v>45926</v>
      </c>
      <c r="C8" s="7" t="inlineStr">
        <is>
          <t>Comienzo a dolarizar (vendo letras y compro oficial y mep) anticipándome a un mal resultado en las elecciones legislativas del 26/10</t>
        </is>
      </c>
      <c r="D8" t="inlineStr">
        <is>
          <t>Dolarización</t>
        </is>
      </c>
    </row>
    <row r="9" ht="15" customHeight="1" s="45">
      <c r="B9" s="53" t="n">
        <v>45931</v>
      </c>
      <c r="C9" s="7" t="inlineStr">
        <is>
          <t>Cambio de broker. Comienzo a vender activos en Cocos para pasarme a IEB.</t>
        </is>
      </c>
      <c r="D9" t="inlineStr">
        <is>
          <t>Cambio broker</t>
        </is>
      </c>
    </row>
    <row r="10" ht="15" customHeight="1" s="45">
      <c r="B10" s="53" t="n">
        <v>45956</v>
      </c>
      <c r="C10" s="7" t="inlineStr">
        <is>
          <t>Elecciones legislativas nacionales con buenos resultados para LLA. Empieza a subir mucho el Merval</t>
        </is>
      </c>
      <c r="D10" t="inlineStr">
        <is>
          <t>Elecciones</t>
        </is>
      </c>
    </row>
    <row r="11" ht="15" customHeight="1" s="45">
      <c r="B11" s="53" t="n">
        <v>45995</v>
      </c>
      <c r="C11" s="7" t="inlineStr">
        <is>
          <t>Vendo el FCI delta recursos naturales (argy) y paso todo a letras de mayo/26</t>
        </is>
      </c>
      <c r="D11" t="inlineStr">
        <is>
          <t>Rotaciones</t>
        </is>
      </c>
    </row>
    <row r="12" ht="15" customHeight="1" s="45">
      <c r="B12" s="53" t="n">
        <v>46006</v>
      </c>
      <c r="C12" s="7" t="inlineStr">
        <is>
          <t>Rotación de letras a cedears defensivos (XLV)</t>
        </is>
      </c>
      <c r="D12" t="inlineStr">
        <is>
          <t>Rotaciones</t>
        </is>
      </c>
    </row>
    <row r="13" ht="45" customHeight="1" s="45">
      <c r="B13" s="53" t="n">
        <v>46022</v>
      </c>
      <c r="C13" s="7" t="inlineStr">
        <is>
          <t>El merval estuvo en una tendencia bajista desde el inicio del año hasta Septiembre. Mantuve el FCI de argy hasta Diciembre para no afrontar la pérdida, alcanzando a tener más del 50% de pérdida en el mismo (-25% del portfolio total). Cuando tuve resultados de pérdida razonables lo vendí para pasarme a lecaps. Pude obtener buenos resultados con las letras para contrarrestar los resultados negativos del resto de las carteras. La cartera de cedears se vio influida negativamente por una fuerte caida de MELI (tenía un gran % del total de la cartera). El resultado de la cartera de bonos fue positivo, obteniendo buenos rendimientos de los trades y del cobro de intereses</t>
        </is>
      </c>
      <c r="D13" t="inlineStr">
        <is>
          <t>Cierre de año</t>
        </is>
      </c>
    </row>
    <row r="14" ht="57.4" customHeight="1" s="45">
      <c r="B14" s="54" t="n">
        <v>46023</v>
      </c>
      <c r="C14" s="26" t="inlineStr">
        <is>
          <t>Como empiezo el año? Con que objetivos y con que tipo de carteras? Que % en cada una, cosas a mejorar y tener en cuenta, etc… poco % de sectores volatiles y argy. Si queres un rto seguro tenes que tener sectores poco volatiles en un gran %, y bajo % en sectores volatiles, ya que aunque tengas poco % la alta volatilidad va a marcar la diferencia en los rendimientos. Que estrategias tener cuando pienso que el dolar va a estar estable, o va a subir/bajar (a que activos moverse en cada escenario). Tener cuidado con elecciones (argy, brasil, eeuu) y balances (hay presentaciones en febrero de cedears importantes).</t>
        </is>
      </c>
      <c r="D14" s="22" t="inlineStr">
        <is>
          <t>Inicio de año</t>
        </is>
      </c>
    </row>
    <row r="15" ht="15" customHeight="1" s="45">
      <c r="B15" s="53" t="n">
        <v>46023</v>
      </c>
      <c r="C15" s="7" t="inlineStr">
        <is>
          <t>En el 1er semestre se da la liquidacion fuerte del agro, lo que significa entrada de dólares</t>
        </is>
      </c>
      <c r="D15" t="inlineStr">
        <is>
          <t>1er semestre 2026</t>
        </is>
      </c>
    </row>
    <row r="16" ht="35.1" customHeight="1" s="45">
      <c r="B16" s="53" t="n">
        <v>46044</v>
      </c>
      <c r="C16" s="7" t="inlineStr">
        <is>
          <t>Transferencia de operaciones de TikTok en EEUU a un consorcio de inversores locales (Oracle entre estos). ByteDance, dueña China de TikTok, no tendrá acceso a la información de los usuarios estadounidenses ni influencia sobre el algoritmo utilizado en ese mercado</t>
        </is>
      </c>
      <c r="D16" t="inlineStr">
        <is>
          <t>Hecho relevante EEUU</t>
        </is>
      </c>
    </row>
    <row r="17" ht="23.85" customHeight="1" s="45">
      <c r="B17" s="53" t="n">
        <v>46053</v>
      </c>
      <c r="C17" s="7" t="inlineStr">
        <is>
          <t>MSFT, META, GOOGL, TSM, VZ, MCD, NKE, KO, PG, WMT, CVX, XOM, AXP, BAC, C, JPM, WFC, ABBV, JNJ, LLY, PFE, LMT, IBM, V, NFLX, AMZN, EBAY, TSLA, PEP, AAPL, INTC, MO, GE</t>
        </is>
      </c>
      <c r="D17" t="inlineStr">
        <is>
          <t>Presentación balances</t>
        </is>
      </c>
    </row>
    <row r="18" ht="15" customHeight="1" s="45">
      <c r="B18" s="53" t="inlineStr">
        <is>
          <t>31/2/2026</t>
        </is>
      </c>
      <c r="C18" s="7" t="inlineStr">
        <is>
          <t>NVDA, PBR, VALE, VIST, GLOB, PAGS, STNE, MELI, BRKB, AMD, CSCO, PYPL, QCOM, DIS</t>
        </is>
      </c>
      <c r="D18" t="inlineStr">
        <is>
          <t>Presentación balances</t>
        </is>
      </c>
    </row>
    <row r="19" ht="15" customHeight="1" s="45">
      <c r="B19" s="53" t="n">
        <v>46112</v>
      </c>
      <c r="C19" s="7" t="inlineStr">
        <is>
          <t>ORCL, COST, AVGO</t>
        </is>
      </c>
      <c r="D19" t="inlineStr">
        <is>
          <t>Presentación balances</t>
        </is>
      </c>
    </row>
    <row r="20" ht="23.85" customHeight="1" s="45">
      <c r="B20" s="53" t="inlineStr">
        <is>
          <t>31/4/2026</t>
        </is>
      </c>
      <c r="C20" s="7" t="inlineStr">
        <is>
          <t>MSFT, META, GOOGL, TSM, VZ, MCD, NKE, KO, PG, WMT, CVX, XOM, AXP, BAC, C, JPM, WFC, ABBV, JNJ, LLY, PFE, LMT, IBM, V, NFLX, AMZN, EBAY, TSLA, PEP, AAPL, INTC, MO, GE</t>
        </is>
      </c>
      <c r="D20" t="inlineStr">
        <is>
          <t>Presentación balances</t>
        </is>
      </c>
    </row>
    <row r="21" ht="15" customHeight="1" s="45">
      <c r="B21" s="53" t="n">
        <v>46173</v>
      </c>
      <c r="C21" s="7" t="inlineStr">
        <is>
          <t>NVDA, NUBANK, PBR, VALE, VIST, GLOB, PAGS, STNE, MELI, BRKB, AMD, CSCO, PYPL, QCOM, DIS</t>
        </is>
      </c>
      <c r="D21" t="inlineStr">
        <is>
          <t>Presentación balances</t>
        </is>
      </c>
    </row>
    <row r="22" ht="35.1" customHeight="1" s="45">
      <c r="B22" s="53" t="n">
        <v>46143</v>
      </c>
      <c r="C22" s="7" t="inlineStr">
        <is>
          <t>Cambian al presidente de la FED. Los candidatos pro-mercado y baja de tasas son Hassett y Waller. Lo nombra el presidente y lo tiene que confirmar el Senado (son 100 senadores, 53 son republicanos y necesitan 51 votos. Históricamente es raro que voten en contra del candidato propuesto por el presidente)</t>
        </is>
      </c>
      <c r="D22" t="inlineStr">
        <is>
          <t>Hecho relevante EEUU</t>
        </is>
      </c>
    </row>
    <row r="23" ht="15" customHeight="1" s="45">
      <c r="B23" s="53" t="inlineStr">
        <is>
          <t>31/6/2026</t>
        </is>
      </c>
      <c r="C23" s="7" t="inlineStr">
        <is>
          <t>ORCL, COST, AVGO</t>
        </is>
      </c>
      <c r="D23" t="inlineStr">
        <is>
          <t>Presentación balances</t>
        </is>
      </c>
    </row>
    <row r="24" ht="23.85" customHeight="1" s="45">
      <c r="B24" s="53" t="n">
        <v>46234</v>
      </c>
      <c r="C24" s="7" t="inlineStr">
        <is>
          <t>MSFT, META, GOOGL, TSM, VZ, MCD, NKE, KO, PG, WMT, CVX, XOM, AXP, BAC, C, JPM, WFC, ABBV, JNJ, LLY, PFE, LMT, IBM, V, NFLX, AMZN, EBAY, TSLA, PEP, AAPL, INTC, MO, GE</t>
        </is>
      </c>
      <c r="D24" t="inlineStr">
        <is>
          <t>Presentación balances</t>
        </is>
      </c>
    </row>
    <row r="25" ht="15" customHeight="1" s="45">
      <c r="B25" s="53" t="n">
        <v>46265</v>
      </c>
      <c r="C25" s="7" t="inlineStr">
        <is>
          <t>NVDA, NUBANK, PBR, VALE, VIST, GLOB, PAGS, STNE, MELI, BRKB, AMD, CSCO, PYPL, QCOM, DIS</t>
        </is>
      </c>
      <c r="D25" t="inlineStr">
        <is>
          <t>Presentación balances</t>
        </is>
      </c>
    </row>
    <row r="26" ht="15" customHeight="1" s="45">
      <c r="B26" s="53" t="inlineStr">
        <is>
          <t>31/9/2026</t>
        </is>
      </c>
      <c r="C26" s="7" t="inlineStr">
        <is>
          <t>ORCL, COST, AVGO</t>
        </is>
      </c>
      <c r="D26" t="inlineStr">
        <is>
          <t>Presentación balances</t>
        </is>
      </c>
    </row>
    <row r="27" ht="23.85" customHeight="1" s="45">
      <c r="B27" s="53" t="n">
        <v>46326</v>
      </c>
      <c r="C27" s="7" t="inlineStr">
        <is>
          <t>MSFT, META, GOOGL, TSM, VZ, MCD, NKE, KO, PG, WMT, CVX, XOM, AXP, BAC, C, JPM, WFC, ABBV, JNJ, LLY, PFE, LMT, IBM, V, NFLX, AMZN, EBAY, TSLA, PEP, AAPL, INTC, MO, GE</t>
        </is>
      </c>
      <c r="D27" t="inlineStr">
        <is>
          <t>Presentación balances</t>
        </is>
      </c>
    </row>
    <row r="28" ht="15" customHeight="1" s="45">
      <c r="B28" s="53" t="n">
        <v>46299</v>
      </c>
      <c r="C28" s="7" t="inlineStr">
        <is>
          <t>Elecciones presidenciales en Brasil. 1ra vuelta. Tiene que haber uno con más del 50% para evitar la 2da vuelta</t>
        </is>
      </c>
      <c r="D28" t="inlineStr">
        <is>
          <t>Hecho relevante Brasil</t>
        </is>
      </c>
    </row>
    <row r="29" ht="15" customHeight="1" s="45">
      <c r="B29" s="53" t="n">
        <v>46320</v>
      </c>
      <c r="C29" s="7" t="inlineStr">
        <is>
          <t>Elecciones presidenciales en Brasil. 2da vuelta</t>
        </is>
      </c>
      <c r="D29" t="inlineStr">
        <is>
          <t>Hecho relevante Brasil</t>
        </is>
      </c>
    </row>
    <row r="30" ht="15" customHeight="1" s="45">
      <c r="B30" s="53" t="n">
        <v>46327</v>
      </c>
      <c r="C30" s="7" t="inlineStr">
        <is>
          <t>Elecciones legislativas en EEUU. Históricamente, el partido del presidente tiende a perder bancas.</t>
        </is>
      </c>
      <c r="D30" t="inlineStr">
        <is>
          <t>Hecho relevante EEUU</t>
        </is>
      </c>
    </row>
    <row r="31" ht="15" customHeight="1" s="45">
      <c r="B31" s="53" t="inlineStr">
        <is>
          <t>31/11/2026</t>
        </is>
      </c>
      <c r="C31" s="7" t="inlineStr">
        <is>
          <t>NVDA, NUBANK, PBR, VALE, VIST, GLOB, PAGS, STNE, MELI, BRKB, AMD, CSCO, PYPL, QCOM, DIS</t>
        </is>
      </c>
      <c r="D31" t="inlineStr">
        <is>
          <t>Presentación balances</t>
        </is>
      </c>
    </row>
    <row r="32" ht="15" customHeight="1" s="45">
      <c r="B32" s="53" t="n">
        <v>46387</v>
      </c>
      <c r="C32" s="7" t="inlineStr">
        <is>
          <t>ORCL, COST, AVGO</t>
        </is>
      </c>
      <c r="D32" t="inlineStr">
        <is>
          <t>Presentación balances</t>
        </is>
      </c>
    </row>
    <row r="33" ht="15" customHeight="1" s="45">
      <c r="F33" s="55" t="n"/>
      <c r="G33" s="55" t="n"/>
    </row>
    <row r="36" ht="15" customHeight="1" s="45">
      <c r="B36" s="9" t="inlineStr">
        <is>
          <t>Pendientes</t>
        </is>
      </c>
    </row>
    <row r="37" ht="15" customHeight="1" s="45">
      <c r="B37" t="inlineStr">
        <is>
          <t>Cargar MEP historico del AL30 o similar</t>
        </is>
      </c>
    </row>
    <row r="39" ht="15" customHeight="1" s="45">
      <c r="B39" s="27" t="inlineStr">
        <is>
          <t>Escenario</t>
        </is>
      </c>
      <c r="C39" s="28" t="inlineStr">
        <is>
          <t>Instrumento de cobertura</t>
        </is>
      </c>
      <c r="E39" s="2" t="n"/>
      <c r="F39" s="56" t="n"/>
    </row>
    <row r="40" ht="15" customHeight="1" s="45">
      <c r="B40" s="29" t="inlineStr">
        <is>
          <t>Suba de dólar</t>
        </is>
      </c>
      <c r="C40" s="30" t="inlineStr">
        <is>
          <t>cedears, dólar billete</t>
        </is>
      </c>
      <c r="E40" s="2" t="n"/>
      <c r="F40" s="55" t="n"/>
    </row>
    <row r="41" ht="15" customHeight="1" s="45">
      <c r="B41" s="29" t="inlineStr">
        <is>
          <t>Dólar estable</t>
        </is>
      </c>
      <c r="C41" s="30" t="inlineStr">
        <is>
          <t>renta fija</t>
        </is>
      </c>
      <c r="E41" s="2" t="n"/>
      <c r="F41" s="55" t="n"/>
    </row>
    <row r="42" ht="15" customHeight="1" s="45">
      <c r="B42" s="29" t="inlineStr">
        <is>
          <t>Suba de inflación</t>
        </is>
      </c>
      <c r="C42" s="30" t="inlineStr">
        <is>
          <t>CER, UVA</t>
        </is>
      </c>
      <c r="E42" s="2" t="n"/>
      <c r="F42" s="55" t="n"/>
    </row>
    <row r="43" ht="15" customHeight="1" s="45">
      <c r="B43" s="29" t="inlineStr">
        <is>
          <t>Corrección USA</t>
        </is>
      </c>
      <c r="C43" s="30" t="inlineStr">
        <is>
          <t>oro, plata, renta variable con bajo beta (xlv,brkb,etc.)</t>
        </is>
      </c>
      <c r="E43" s="31" t="n"/>
      <c r="F43" s="52" t="n"/>
    </row>
    <row r="44" ht="15" customHeight="1" s="45">
      <c r="B44" s="29" t="inlineStr">
        <is>
          <t>Suba de tasas</t>
        </is>
      </c>
      <c r="C44" s="30" t="inlineStr">
        <is>
          <t>renta fija</t>
        </is>
      </c>
      <c r="E44" s="31" t="n"/>
      <c r="F44" s="52" t="n"/>
    </row>
    <row r="45" ht="15" customHeight="1" s="45">
      <c r="B45" s="29" t="inlineStr">
        <is>
          <t>Baja de tasas</t>
        </is>
      </c>
      <c r="C45" s="30" t="inlineStr">
        <is>
          <t>oro, plata, renta variable</t>
        </is>
      </c>
      <c r="E45" s="31" t="n"/>
      <c r="F45" s="52" t="n"/>
    </row>
    <row r="46" ht="15" customHeight="1" s="45">
      <c r="E46" s="31" t="n"/>
      <c r="F46" s="52" t="n"/>
    </row>
    <row r="47" ht="15" customHeight="1" s="45">
      <c r="E47" s="31" t="n"/>
      <c r="F47" s="52" t="n"/>
    </row>
    <row r="48" ht="15" customHeight="1" s="45">
      <c r="E48" s="31" t="n"/>
      <c r="F48" s="52" t="n"/>
    </row>
    <row r="50" ht="15" customHeight="1" s="45">
      <c r="B50" t="inlineStr">
        <is>
          <t>En Febrero el Merval suele corregir</t>
        </is>
      </c>
    </row>
    <row r="51" ht="15" customHeight="1" s="45">
      <c r="B51" t="inlineStr">
        <is>
          <t>En el 1er semestre se da la liquidacion fuerte del agro, lo que significa entrada de dólares. Ver grafico del MEP anual x años y comparar si en el primer semestra baja o està estable</t>
        </is>
      </c>
    </row>
    <row r="52" ht="15" customHeight="1" s="45">
      <c r="B52" t="inlineStr">
        <is>
          <t>No tener tanto % en argy porque es muy volatil (sumando acciones, bonos, letras..). Establecer % maximo</t>
        </is>
      </c>
    </row>
    <row r="53" ht="15" customHeight="1" s="45">
      <c r="B53" t="inlineStr">
        <is>
          <t>% de tasa (cer o UVA preferentemente)</t>
        </is>
      </c>
    </row>
    <row r="54" ht="15" customHeight="1" s="45">
      <c r="B54" t="inlineStr">
        <is>
          <t>% alto de dolarización (cedears, FCI en dolares). Subir o bajar % según estabilidad del TC</t>
        </is>
      </c>
    </row>
    <row r="55" ht="15" customHeight="1" s="45">
      <c r="B55" t="inlineStr">
        <is>
          <t>% bajo en btc</t>
        </is>
      </c>
    </row>
    <row r="56" ht="15" customHeight="1" s="45">
      <c r="B56" t="inlineStr">
        <is>
          <t>%  brasil long</t>
        </is>
      </c>
    </row>
  </sheetData>
  <pageMargins left="0.7" right="0.7" top="0.75" bottom="0.75" header="0.511811023622047" footer="0.511811023622047"/>
  <pageSetup orientation="portrait" paperSize="9" horizontalDpi="300" verticalDpi="300"/>
</worksheet>
</file>

<file path=xl/worksheets/sheet7.xml><?xml version="1.0" encoding="utf-8"?>
<worksheet xmlns="http://schemas.openxmlformats.org/spreadsheetml/2006/main">
  <sheetPr>
    <outlinePr summaryBelow="1" summaryRight="1"/>
    <pageSetUpPr/>
  </sheetPr>
  <dimension ref="A1:D83"/>
  <sheetViews>
    <sheetView zoomScale="75" zoomScaleNormal="75" workbookViewId="0">
      <selection activeCell="D40" sqref="D40"/>
    </sheetView>
  </sheetViews>
  <sheetFormatPr baseColWidth="10" defaultColWidth="10.7109375" defaultRowHeight="15" customHeight="1"/>
  <cols>
    <col width="8.85546875" customWidth="1" style="45" min="1" max="1"/>
    <col width="12.85546875" customWidth="1" style="45" min="2" max="2"/>
    <col width="13.140625" customWidth="1" style="45" min="3" max="3"/>
    <col width="19.28515625" customWidth="1" style="45" min="4" max="4"/>
  </cols>
  <sheetData>
    <row r="1" ht="15" customHeight="1" s="45">
      <c r="A1" t="inlineStr">
        <is>
          <t>Activo</t>
        </is>
      </c>
      <c r="B1" t="inlineStr">
        <is>
          <t>Grupo</t>
        </is>
      </c>
      <c r="C1" t="inlineStr">
        <is>
          <t>Benchmark</t>
        </is>
      </c>
      <c r="D1" t="inlineStr">
        <is>
          <t>Beta (3Y mensual)</t>
        </is>
      </c>
    </row>
    <row r="2" ht="15" customHeight="1" s="45">
      <c r="A2" t="inlineStr">
        <is>
          <t>HMY</t>
        </is>
      </c>
      <c r="B2" t="inlineStr">
        <is>
          <t>USA</t>
        </is>
      </c>
      <c r="C2" t="inlineStr">
        <is>
          <t>^GSPC</t>
        </is>
      </c>
      <c r="D2" t="inlineStr">
        <is>
          <t>-0.32</t>
        </is>
      </c>
    </row>
    <row r="3" ht="15" customHeight="1" s="45">
      <c r="A3" t="inlineStr">
        <is>
          <t>GLD</t>
        </is>
      </c>
      <c r="B3" t="inlineStr">
        <is>
          <t>Commodities</t>
        </is>
      </c>
      <c r="C3" t="inlineStr">
        <is>
          <t>^GSPC</t>
        </is>
      </c>
      <c r="D3" t="inlineStr">
        <is>
          <t>-0.2</t>
        </is>
      </c>
    </row>
    <row r="4" ht="15" customHeight="1" s="45">
      <c r="A4" t="inlineStr">
        <is>
          <t>PAAS</t>
        </is>
      </c>
      <c r="B4" t="inlineStr">
        <is>
          <t>USA</t>
        </is>
      </c>
      <c r="C4" t="inlineStr">
        <is>
          <t>^GSPC</t>
        </is>
      </c>
      <c r="D4" t="inlineStr">
        <is>
          <t>-0.11</t>
        </is>
      </c>
    </row>
    <row r="5" ht="15" customHeight="1" s="45">
      <c r="A5" t="inlineStr">
        <is>
          <t>XOM</t>
        </is>
      </c>
      <c r="B5" t="inlineStr">
        <is>
          <t>USA</t>
        </is>
      </c>
      <c r="C5" t="inlineStr">
        <is>
          <t>^GSPC</t>
        </is>
      </c>
      <c r="D5" t="inlineStr">
        <is>
          <t>-0.01</t>
        </is>
      </c>
    </row>
    <row r="6" ht="15" customHeight="1" s="45">
      <c r="A6" t="inlineStr">
        <is>
          <t>LMT</t>
        </is>
      </c>
      <c r="B6" t="inlineStr">
        <is>
          <t>USA</t>
        </is>
      </c>
      <c r="C6" t="inlineStr">
        <is>
          <t>^GSPC</t>
        </is>
      </c>
      <c r="D6" t="inlineStr">
        <is>
          <t>0.12</t>
        </is>
      </c>
    </row>
    <row r="7" ht="15" customHeight="1" s="45">
      <c r="A7" t="inlineStr">
        <is>
          <t>NEM</t>
        </is>
      </c>
      <c r="B7" t="inlineStr">
        <is>
          <t>USA</t>
        </is>
      </c>
      <c r="C7" t="inlineStr">
        <is>
          <t>^GSPC</t>
        </is>
      </c>
      <c r="D7" t="inlineStr">
        <is>
          <t>0.13</t>
        </is>
      </c>
    </row>
    <row r="8" ht="15" customHeight="1" s="45">
      <c r="A8" t="inlineStr">
        <is>
          <t>SLV</t>
        </is>
      </c>
      <c r="B8" t="inlineStr">
        <is>
          <t>Commodities</t>
        </is>
      </c>
      <c r="C8" t="inlineStr">
        <is>
          <t>^GSPC</t>
        </is>
      </c>
      <c r="D8" t="inlineStr">
        <is>
          <t>0.16</t>
        </is>
      </c>
    </row>
    <row r="9" ht="15" customHeight="1" s="45">
      <c r="A9" t="inlineStr">
        <is>
          <t>SLV</t>
        </is>
      </c>
      <c r="B9" t="inlineStr">
        <is>
          <t>USA</t>
        </is>
      </c>
      <c r="C9" t="inlineStr">
        <is>
          <t>^GSPC</t>
        </is>
      </c>
      <c r="D9" t="inlineStr">
        <is>
          <t>0.16</t>
        </is>
      </c>
    </row>
    <row r="10" ht="15" customHeight="1" s="45">
      <c r="A10" t="inlineStr">
        <is>
          <t>MO</t>
        </is>
      </c>
      <c r="B10" t="inlineStr">
        <is>
          <t>USA</t>
        </is>
      </c>
      <c r="C10" t="inlineStr">
        <is>
          <t>^GSPC</t>
        </is>
      </c>
      <c r="D10" t="inlineStr">
        <is>
          <t>0.17</t>
        </is>
      </c>
    </row>
    <row r="11" ht="15" customHeight="1" s="45">
      <c r="A11" t="inlineStr">
        <is>
          <t>KO</t>
        </is>
      </c>
      <c r="B11" t="inlineStr">
        <is>
          <t>USA</t>
        </is>
      </c>
      <c r="C11" t="inlineStr">
        <is>
          <t>^GSPC</t>
        </is>
      </c>
      <c r="D11" t="inlineStr">
        <is>
          <t>0.17</t>
        </is>
      </c>
    </row>
    <row r="12" ht="15" customHeight="1" s="45">
      <c r="A12" t="inlineStr">
        <is>
          <t>RIO</t>
        </is>
      </c>
      <c r="B12" t="inlineStr">
        <is>
          <t>USA</t>
        </is>
      </c>
      <c r="C12" t="inlineStr">
        <is>
          <t>^GSPC</t>
        </is>
      </c>
      <c r="D12" t="inlineStr">
        <is>
          <t>0.19</t>
        </is>
      </c>
    </row>
    <row r="13" ht="15" customHeight="1" s="45">
      <c r="A13" t="inlineStr">
        <is>
          <t>LLY</t>
        </is>
      </c>
      <c r="B13" t="inlineStr">
        <is>
          <t>USA</t>
        </is>
      </c>
      <c r="C13" t="inlineStr">
        <is>
          <t>^GSPC</t>
        </is>
      </c>
      <c r="D13" t="inlineStr">
        <is>
          <t>0.2</t>
        </is>
      </c>
    </row>
    <row r="14" ht="15" customHeight="1" s="45">
      <c r="A14" t="inlineStr">
        <is>
          <t>VZ</t>
        </is>
      </c>
      <c r="B14" t="inlineStr">
        <is>
          <t>USA</t>
        </is>
      </c>
      <c r="C14" t="inlineStr">
        <is>
          <t>^GSPC</t>
        </is>
      </c>
      <c r="D14" t="inlineStr">
        <is>
          <t>0.21</t>
        </is>
      </c>
    </row>
    <row r="15" ht="15" customHeight="1" s="45">
      <c r="A15" t="inlineStr">
        <is>
          <t>ABBV</t>
        </is>
      </c>
      <c r="B15" t="inlineStr">
        <is>
          <t>USA</t>
        </is>
      </c>
      <c r="C15" t="inlineStr">
        <is>
          <t>^GSPC</t>
        </is>
      </c>
      <c r="D15" t="inlineStr">
        <is>
          <t>0.22</t>
        </is>
      </c>
    </row>
    <row r="16" ht="15" customHeight="1" s="45">
      <c r="A16" t="inlineStr">
        <is>
          <t>MCD</t>
        </is>
      </c>
      <c r="B16" t="inlineStr">
        <is>
          <t>USA</t>
        </is>
      </c>
      <c r="C16" t="inlineStr">
        <is>
          <t>^GSPC</t>
        </is>
      </c>
      <c r="D16" t="inlineStr">
        <is>
          <t>0.23</t>
        </is>
      </c>
    </row>
    <row r="17" ht="15" customHeight="1" s="45">
      <c r="A17" t="inlineStr">
        <is>
          <t>B</t>
        </is>
      </c>
      <c r="B17" t="inlineStr">
        <is>
          <t>USA</t>
        </is>
      </c>
      <c r="C17" t="inlineStr">
        <is>
          <t>^GSPC</t>
        </is>
      </c>
      <c r="D17" t="inlineStr">
        <is>
          <t>0.3</t>
        </is>
      </c>
    </row>
    <row r="18" ht="15" customHeight="1" s="45">
      <c r="A18" t="inlineStr">
        <is>
          <t>PEP</t>
        </is>
      </c>
      <c r="B18" t="inlineStr">
        <is>
          <t>USA</t>
        </is>
      </c>
      <c r="C18" t="inlineStr">
        <is>
          <t>^GSPC</t>
        </is>
      </c>
      <c r="D18" t="inlineStr">
        <is>
          <t>0.3</t>
        </is>
      </c>
    </row>
    <row r="19" ht="15" customHeight="1" s="45">
      <c r="A19" t="inlineStr">
        <is>
          <t>VALE</t>
        </is>
      </c>
      <c r="B19" t="inlineStr">
        <is>
          <t>USA</t>
        </is>
      </c>
      <c r="C19" t="inlineStr">
        <is>
          <t>^GSPC</t>
        </is>
      </c>
      <c r="D19" t="inlineStr">
        <is>
          <t>0.31</t>
        </is>
      </c>
    </row>
    <row r="20" ht="15" customHeight="1" s="45">
      <c r="A20" t="inlineStr">
        <is>
          <t>PBR</t>
        </is>
      </c>
      <c r="B20" t="inlineStr">
        <is>
          <t>USA</t>
        </is>
      </c>
      <c r="C20" t="inlineStr">
        <is>
          <t>^GSPC</t>
        </is>
      </c>
      <c r="D20" t="inlineStr">
        <is>
          <t>0.31</t>
        </is>
      </c>
    </row>
    <row r="21" ht="15" customHeight="1" s="45">
      <c r="A21" t="inlineStr">
        <is>
          <t>BRKB</t>
        </is>
      </c>
      <c r="B21" t="inlineStr">
        <is>
          <t>USA</t>
        </is>
      </c>
      <c r="C21" t="inlineStr">
        <is>
          <t>^GSPC</t>
        </is>
      </c>
      <c r="D21" t="inlineStr">
        <is>
          <t>0.32</t>
        </is>
      </c>
    </row>
    <row r="22" ht="15" customHeight="1" s="45">
      <c r="A22" t="inlineStr">
        <is>
          <t>PFE</t>
        </is>
      </c>
      <c r="B22" t="inlineStr">
        <is>
          <t>USA</t>
        </is>
      </c>
      <c r="C22" t="inlineStr">
        <is>
          <t>^GSPC</t>
        </is>
      </c>
      <c r="D22" t="inlineStr">
        <is>
          <t>0.36</t>
        </is>
      </c>
    </row>
    <row r="23" ht="15" customHeight="1" s="45">
      <c r="A23" t="inlineStr">
        <is>
          <t>CSCO</t>
        </is>
      </c>
      <c r="B23" t="inlineStr">
        <is>
          <t>USA</t>
        </is>
      </c>
      <c r="C23" t="inlineStr">
        <is>
          <t>^GSPC</t>
        </is>
      </c>
      <c r="D23" t="inlineStr">
        <is>
          <t>0.38</t>
        </is>
      </c>
    </row>
    <row r="24" ht="15" customHeight="1" s="45">
      <c r="A24" t="inlineStr">
        <is>
          <t>XLE</t>
        </is>
      </c>
      <c r="B24" t="inlineStr">
        <is>
          <t>USA</t>
        </is>
      </c>
      <c r="C24" t="inlineStr">
        <is>
          <t>^GSPC</t>
        </is>
      </c>
      <c r="D24" t="inlineStr">
        <is>
          <t>0.39</t>
        </is>
      </c>
    </row>
    <row r="25" ht="15" customHeight="1" s="45">
      <c r="A25" t="inlineStr">
        <is>
          <t>PG</t>
        </is>
      </c>
      <c r="B25" t="inlineStr">
        <is>
          <t>USA</t>
        </is>
      </c>
      <c r="C25" t="inlineStr">
        <is>
          <t>^GSPC</t>
        </is>
      </c>
      <c r="D25" t="inlineStr">
        <is>
          <t>0.39</t>
        </is>
      </c>
    </row>
    <row r="26" ht="15" customHeight="1" s="45">
      <c r="A26" t="inlineStr">
        <is>
          <t>CVX</t>
        </is>
      </c>
      <c r="B26" t="inlineStr">
        <is>
          <t>USA</t>
        </is>
      </c>
      <c r="C26" t="inlineStr">
        <is>
          <t>^GSPC</t>
        </is>
      </c>
      <c r="D26" t="inlineStr">
        <is>
          <t>0.4</t>
        </is>
      </c>
    </row>
    <row r="27" ht="15" customHeight="1" s="45">
      <c r="A27" t="inlineStr">
        <is>
          <t>XLP</t>
        </is>
      </c>
      <c r="B27" t="inlineStr">
        <is>
          <t>USA</t>
        </is>
      </c>
      <c r="C27" t="inlineStr">
        <is>
          <t>^GSPC</t>
        </is>
      </c>
      <c r="D27" t="inlineStr">
        <is>
          <t>0.41</t>
        </is>
      </c>
    </row>
    <row r="28" ht="15" customHeight="1" s="45">
      <c r="A28" t="inlineStr">
        <is>
          <t>JNJ</t>
        </is>
      </c>
      <c r="B28" t="inlineStr">
        <is>
          <t>USA</t>
        </is>
      </c>
      <c r="C28" t="inlineStr">
        <is>
          <t>^GSPC</t>
        </is>
      </c>
      <c r="D28" t="inlineStr">
        <is>
          <t>0.48</t>
        </is>
      </c>
    </row>
    <row r="29" ht="15" customHeight="1" s="45">
      <c r="A29" t="inlineStr">
        <is>
          <t>BHP</t>
        </is>
      </c>
      <c r="B29" t="inlineStr">
        <is>
          <t>USA</t>
        </is>
      </c>
      <c r="C29" t="inlineStr">
        <is>
          <t>^GSPC</t>
        </is>
      </c>
      <c r="D29" t="inlineStr">
        <is>
          <t>0.49</t>
        </is>
      </c>
    </row>
    <row r="30" ht="15" customHeight="1" s="45">
      <c r="A30" t="inlineStr">
        <is>
          <t>WMT</t>
        </is>
      </c>
      <c r="B30" t="inlineStr">
        <is>
          <t>USA</t>
        </is>
      </c>
      <c r="C30" t="inlineStr">
        <is>
          <t>^GSPC</t>
        </is>
      </c>
      <c r="D30" t="inlineStr">
        <is>
          <t>0.54</t>
        </is>
      </c>
    </row>
    <row r="31" ht="15" customHeight="1" s="45">
      <c r="A31" t="inlineStr">
        <is>
          <t>XLU</t>
        </is>
      </c>
      <c r="B31" t="inlineStr">
        <is>
          <t>USA</t>
        </is>
      </c>
      <c r="C31" t="inlineStr">
        <is>
          <t>^GSPC</t>
        </is>
      </c>
      <c r="D31" t="inlineStr">
        <is>
          <t>0.55</t>
        </is>
      </c>
    </row>
    <row r="32" ht="15" customHeight="1" s="45">
      <c r="A32" t="inlineStr">
        <is>
          <t>XLV</t>
        </is>
      </c>
      <c r="B32" t="inlineStr">
        <is>
          <t>USA</t>
        </is>
      </c>
      <c r="C32" t="inlineStr">
        <is>
          <t>^GSPC</t>
        </is>
      </c>
      <c r="D32" t="inlineStr">
        <is>
          <t>0.55</t>
        </is>
      </c>
    </row>
    <row r="33" ht="15" customHeight="1" s="45">
      <c r="A33" t="inlineStr">
        <is>
          <t>V</t>
        </is>
      </c>
      <c r="B33" t="inlineStr">
        <is>
          <t>USA</t>
        </is>
      </c>
      <c r="C33" t="inlineStr">
        <is>
          <t>^GSPC</t>
        </is>
      </c>
      <c r="D33" t="inlineStr">
        <is>
          <t>0.6</t>
        </is>
      </c>
    </row>
    <row r="34" ht="15" customHeight="1" s="45">
      <c r="A34" t="inlineStr">
        <is>
          <t>GOOGL</t>
        </is>
      </c>
      <c r="B34" t="inlineStr">
        <is>
          <t>USA</t>
        </is>
      </c>
      <c r="C34" t="inlineStr">
        <is>
          <t>^GSPC</t>
        </is>
      </c>
      <c r="D34" t="inlineStr">
        <is>
          <t>0.64</t>
        </is>
      </c>
    </row>
    <row r="35" ht="15" customHeight="1" s="45">
      <c r="A35" t="inlineStr">
        <is>
          <t>MA</t>
        </is>
      </c>
      <c r="B35" t="inlineStr">
        <is>
          <t>USA</t>
        </is>
      </c>
      <c r="C35" t="inlineStr">
        <is>
          <t>^GSPC</t>
        </is>
      </c>
      <c r="D35" t="inlineStr">
        <is>
          <t>0.77</t>
        </is>
      </c>
    </row>
    <row r="36" ht="15" customHeight="1" s="45">
      <c r="A36" t="inlineStr">
        <is>
          <t>SCCO</t>
        </is>
      </c>
      <c r="B36" t="inlineStr">
        <is>
          <t>USA</t>
        </is>
      </c>
      <c r="C36" t="inlineStr">
        <is>
          <t>^GSPC</t>
        </is>
      </c>
      <c r="D36" t="inlineStr">
        <is>
          <t>0.81</t>
        </is>
      </c>
    </row>
    <row r="37" ht="15" customHeight="1" s="45">
      <c r="A37" t="inlineStr">
        <is>
          <t>ABT</t>
        </is>
      </c>
      <c r="B37" t="inlineStr">
        <is>
          <t>USA</t>
        </is>
      </c>
      <c r="C37" t="inlineStr">
        <is>
          <t>^GSPC</t>
        </is>
      </c>
      <c r="D37" t="inlineStr">
        <is>
          <t>0.84</t>
        </is>
      </c>
    </row>
    <row r="38" ht="15" customHeight="1" s="45">
      <c r="A38" t="inlineStr">
        <is>
          <t>VIST</t>
        </is>
      </c>
      <c r="B38" t="inlineStr">
        <is>
          <t>USA</t>
        </is>
      </c>
      <c r="C38" t="inlineStr">
        <is>
          <t>^GSPC</t>
        </is>
      </c>
      <c r="D38" t="inlineStr">
        <is>
          <t>0.84</t>
        </is>
      </c>
    </row>
    <row r="39" ht="15" customHeight="1" s="45">
      <c r="A39" t="inlineStr">
        <is>
          <t>COST</t>
        </is>
      </c>
      <c r="B39" t="inlineStr">
        <is>
          <t>USA</t>
        </is>
      </c>
      <c r="C39" t="inlineStr">
        <is>
          <t>^GSPC</t>
        </is>
      </c>
      <c r="D39" t="inlineStr">
        <is>
          <t>0.86</t>
        </is>
      </c>
    </row>
    <row r="40" ht="15" customHeight="1" s="45">
      <c r="A40" t="inlineStr">
        <is>
          <t>AAPL</t>
        </is>
      </c>
      <c r="B40" t="inlineStr">
        <is>
          <t>USA</t>
        </is>
      </c>
      <c r="C40" t="inlineStr">
        <is>
          <t>^GSPC</t>
        </is>
      </c>
      <c r="D40" t="inlineStr">
        <is>
          <t>0.88</t>
        </is>
      </c>
    </row>
    <row r="41" ht="15" customHeight="1" s="45">
      <c r="A41" t="inlineStr">
        <is>
          <t>COPX</t>
        </is>
      </c>
      <c r="B41" t="inlineStr">
        <is>
          <t>Commodities</t>
        </is>
      </c>
      <c r="C41" t="inlineStr">
        <is>
          <t>^GSPC</t>
        </is>
      </c>
      <c r="D41" t="inlineStr">
        <is>
          <t>0.89</t>
        </is>
      </c>
    </row>
    <row r="42" ht="15" customHeight="1" s="45">
      <c r="A42" t="inlineStr">
        <is>
          <t>XLB</t>
        </is>
      </c>
      <c r="B42" t="inlineStr">
        <is>
          <t>USA</t>
        </is>
      </c>
      <c r="C42" t="inlineStr">
        <is>
          <t>^GSPC</t>
        </is>
      </c>
      <c r="D42" t="inlineStr">
        <is>
          <t>0.91</t>
        </is>
      </c>
    </row>
    <row r="43" ht="15" customHeight="1" s="45">
      <c r="A43" t="inlineStr">
        <is>
          <t>XLC</t>
        </is>
      </c>
      <c r="B43" t="inlineStr">
        <is>
          <t>USA</t>
        </is>
      </c>
      <c r="C43" t="inlineStr">
        <is>
          <t>^GSPC</t>
        </is>
      </c>
      <c r="D43" t="inlineStr">
        <is>
          <t>0.95</t>
        </is>
      </c>
    </row>
    <row r="44" ht="15" customHeight="1" s="45">
      <c r="A44" t="inlineStr">
        <is>
          <t>EBAY</t>
        </is>
      </c>
      <c r="B44" t="inlineStr">
        <is>
          <t>USA</t>
        </is>
      </c>
      <c r="C44" t="inlineStr">
        <is>
          <t>^GSPC</t>
        </is>
      </c>
      <c r="D44" t="inlineStr">
        <is>
          <t>0.97</t>
        </is>
      </c>
    </row>
    <row r="45" ht="15" customHeight="1" s="45">
      <c r="A45" t="inlineStr">
        <is>
          <t>XLRE</t>
        </is>
      </c>
      <c r="B45" t="inlineStr">
        <is>
          <t>USA</t>
        </is>
      </c>
      <c r="C45" t="inlineStr">
        <is>
          <t>^GSPC</t>
        </is>
      </c>
      <c r="D45" t="inlineStr">
        <is>
          <t>0.99</t>
        </is>
      </c>
    </row>
    <row r="46" ht="15" customHeight="1" s="45">
      <c r="A46" t="inlineStr">
        <is>
          <t>NU</t>
        </is>
      </c>
      <c r="B46" t="inlineStr">
        <is>
          <t>USA</t>
        </is>
      </c>
      <c r="C46" t="inlineStr">
        <is>
          <t>^GSPC</t>
        </is>
      </c>
      <c r="D46" t="inlineStr">
        <is>
          <t>0.99</t>
        </is>
      </c>
    </row>
    <row r="47" ht="15" customHeight="1" s="45">
      <c r="A47" t="inlineStr">
        <is>
          <t>XLF</t>
        </is>
      </c>
      <c r="B47" t="inlineStr">
        <is>
          <t>USA</t>
        </is>
      </c>
      <c r="C47" t="inlineStr">
        <is>
          <t>^GSPC</t>
        </is>
      </c>
      <c r="D47" t="inlineStr">
        <is>
          <t>1.0</t>
        </is>
      </c>
    </row>
    <row r="48" ht="15" customHeight="1" s="45">
      <c r="A48" t="inlineStr">
        <is>
          <t>FCX</t>
        </is>
      </c>
      <c r="B48" t="inlineStr">
        <is>
          <t>Commodities</t>
        </is>
      </c>
      <c r="C48" t="inlineStr">
        <is>
          <t>^GSPC</t>
        </is>
      </c>
      <c r="D48" t="inlineStr">
        <is>
          <t>1.01</t>
        </is>
      </c>
    </row>
    <row r="49" ht="15" customHeight="1" s="45">
      <c r="A49" t="inlineStr">
        <is>
          <t>FCX</t>
        </is>
      </c>
      <c r="B49" t="inlineStr">
        <is>
          <t>USA</t>
        </is>
      </c>
      <c r="C49" t="inlineStr">
        <is>
          <t>^GSPC</t>
        </is>
      </c>
      <c r="D49" t="inlineStr">
        <is>
          <t>1.01</t>
        </is>
      </c>
    </row>
    <row r="50" ht="15" customHeight="1" s="45">
      <c r="A50" t="inlineStr">
        <is>
          <t>SPY</t>
        </is>
      </c>
      <c r="B50" t="inlineStr">
        <is>
          <t>USA</t>
        </is>
      </c>
      <c r="C50" t="inlineStr">
        <is>
          <t>^GSPC</t>
        </is>
      </c>
      <c r="D50" t="inlineStr">
        <is>
          <t>1.03</t>
        </is>
      </c>
    </row>
    <row r="51" ht="15" customHeight="1" s="45">
      <c r="A51" t="inlineStr">
        <is>
          <t>EWZ</t>
        </is>
      </c>
      <c r="B51" t="inlineStr">
        <is>
          <t>Brazil</t>
        </is>
      </c>
      <c r="C51" t="inlineStr">
        <is>
          <t>EWZ</t>
        </is>
      </c>
      <c r="D51" t="inlineStr">
        <is>
          <t>1.03</t>
        </is>
      </c>
    </row>
    <row r="52" ht="15" customHeight="1" s="45">
      <c r="A52" t="inlineStr">
        <is>
          <t>XLI</t>
        </is>
      </c>
      <c r="B52" t="inlineStr">
        <is>
          <t>USA</t>
        </is>
      </c>
      <c r="C52" t="inlineStr">
        <is>
          <t>^GSPC</t>
        </is>
      </c>
      <c r="D52" t="inlineStr">
        <is>
          <t>1.11</t>
        </is>
      </c>
    </row>
    <row r="53" ht="15" customHeight="1" s="45">
      <c r="A53" t="inlineStr">
        <is>
          <t>GE</t>
        </is>
      </c>
      <c r="B53" t="inlineStr">
        <is>
          <t>USA</t>
        </is>
      </c>
      <c r="C53" t="inlineStr">
        <is>
          <t>^GSPC</t>
        </is>
      </c>
      <c r="D53" t="inlineStr">
        <is>
          <t>1.12</t>
        </is>
      </c>
    </row>
    <row r="54" ht="15" customHeight="1" s="45">
      <c r="A54" t="inlineStr">
        <is>
          <t>NKE</t>
        </is>
      </c>
      <c r="B54" t="inlineStr">
        <is>
          <t>USA</t>
        </is>
      </c>
      <c r="C54" t="inlineStr">
        <is>
          <t>^GSPC</t>
        </is>
      </c>
      <c r="D54" t="inlineStr">
        <is>
          <t>1.12</t>
        </is>
      </c>
    </row>
    <row r="55" ht="15" customHeight="1" s="45">
      <c r="A55" t="inlineStr">
        <is>
          <t>MSFT</t>
        </is>
      </c>
      <c r="B55" t="inlineStr">
        <is>
          <t>USA</t>
        </is>
      </c>
      <c r="C55" t="inlineStr">
        <is>
          <t>^GSPC</t>
        </is>
      </c>
      <c r="D55" t="inlineStr">
        <is>
          <t>1.14</t>
        </is>
      </c>
    </row>
    <row r="56" ht="15" customHeight="1" s="45">
      <c r="A56" t="inlineStr">
        <is>
          <t>QQQ</t>
        </is>
      </c>
      <c r="B56" t="inlineStr">
        <is>
          <t>USA</t>
        </is>
      </c>
      <c r="C56" t="inlineStr">
        <is>
          <t>^GSPC</t>
        </is>
      </c>
      <c r="D56" t="inlineStr">
        <is>
          <t>1.16</t>
        </is>
      </c>
    </row>
    <row r="57" ht="15" customHeight="1" s="45">
      <c r="A57" t="inlineStr">
        <is>
          <t>AVGO</t>
        </is>
      </c>
      <c r="B57" t="inlineStr">
        <is>
          <t>USA</t>
        </is>
      </c>
      <c r="C57" t="inlineStr">
        <is>
          <t>^GSPC</t>
        </is>
      </c>
      <c r="D57" t="inlineStr">
        <is>
          <t>1.17</t>
        </is>
      </c>
    </row>
    <row r="58" ht="15" customHeight="1" s="45">
      <c r="A58" t="inlineStr">
        <is>
          <t>MELI</t>
        </is>
      </c>
      <c r="B58" t="inlineStr">
        <is>
          <t>USA</t>
        </is>
      </c>
      <c r="C58" t="inlineStr">
        <is>
          <t>^GSPC</t>
        </is>
      </c>
      <c r="D58" t="inlineStr">
        <is>
          <t>1.17</t>
        </is>
      </c>
    </row>
    <row r="59" ht="15" customHeight="1" s="45">
      <c r="A59" t="inlineStr">
        <is>
          <t>GLOB</t>
        </is>
      </c>
      <c r="B59" t="inlineStr">
        <is>
          <t>USA</t>
        </is>
      </c>
      <c r="C59" t="inlineStr">
        <is>
          <t>^GSPC</t>
        </is>
      </c>
      <c r="D59" t="inlineStr">
        <is>
          <t>1.21</t>
        </is>
      </c>
    </row>
    <row r="60" ht="15" customHeight="1" s="45">
      <c r="A60" t="inlineStr">
        <is>
          <t>NFLX</t>
        </is>
      </c>
      <c r="B60" t="inlineStr">
        <is>
          <t>USA</t>
        </is>
      </c>
      <c r="C60" t="inlineStr">
        <is>
          <t>^GSPC</t>
        </is>
      </c>
      <c r="D60" t="inlineStr">
        <is>
          <t>1.24</t>
        </is>
      </c>
    </row>
    <row r="61" ht="15" customHeight="1" s="45">
      <c r="A61" t="inlineStr">
        <is>
          <t>XLK</t>
        </is>
      </c>
      <c r="B61" t="inlineStr">
        <is>
          <t>USA</t>
        </is>
      </c>
      <c r="C61" t="inlineStr">
        <is>
          <t>^GSPC</t>
        </is>
      </c>
      <c r="D61" t="inlineStr">
        <is>
          <t>1.29</t>
        </is>
      </c>
    </row>
    <row r="62" ht="15" customHeight="1" s="45">
      <c r="A62" t="inlineStr">
        <is>
          <t>WFC</t>
        </is>
      </c>
      <c r="B62" t="inlineStr">
        <is>
          <t>USA</t>
        </is>
      </c>
      <c r="C62" t="inlineStr">
        <is>
          <t>^GSPC</t>
        </is>
      </c>
      <c r="D62" t="inlineStr">
        <is>
          <t>1.3</t>
        </is>
      </c>
    </row>
    <row r="63" ht="15" customHeight="1" s="45">
      <c r="A63" t="inlineStr">
        <is>
          <t>TSM</t>
        </is>
      </c>
      <c r="B63" t="inlineStr">
        <is>
          <t>USA</t>
        </is>
      </c>
      <c r="C63" t="inlineStr">
        <is>
          <t>^GSPC</t>
        </is>
      </c>
      <c r="D63" t="inlineStr">
        <is>
          <t>1.3</t>
        </is>
      </c>
    </row>
    <row r="64" ht="15" customHeight="1" s="45">
      <c r="A64" t="inlineStr">
        <is>
          <t>AMZN</t>
        </is>
      </c>
      <c r="B64" t="inlineStr">
        <is>
          <t>USA</t>
        </is>
      </c>
      <c r="C64" t="inlineStr">
        <is>
          <t>^GSPC</t>
        </is>
      </c>
      <c r="D64" t="inlineStr">
        <is>
          <t>1.33</t>
        </is>
      </c>
    </row>
    <row r="65" ht="15" customHeight="1" s="45">
      <c r="A65" t="inlineStr">
        <is>
          <t>JPM</t>
        </is>
      </c>
      <c r="B65" t="inlineStr">
        <is>
          <t>USA</t>
        </is>
      </c>
      <c r="C65" t="inlineStr">
        <is>
          <t>^GSPC</t>
        </is>
      </c>
      <c r="D65" t="inlineStr">
        <is>
          <t>1.33</t>
        </is>
      </c>
    </row>
    <row r="66" ht="15" customHeight="1" s="45">
      <c r="A66" t="inlineStr">
        <is>
          <t>XLY</t>
        </is>
      </c>
      <c r="B66" t="inlineStr">
        <is>
          <t>USA</t>
        </is>
      </c>
      <c r="C66" t="inlineStr">
        <is>
          <t>^GSPC</t>
        </is>
      </c>
      <c r="D66" t="inlineStr">
        <is>
          <t>1.33</t>
        </is>
      </c>
    </row>
    <row r="67" ht="15" customHeight="1" s="45">
      <c r="A67" t="inlineStr">
        <is>
          <t>IBM</t>
        </is>
      </c>
      <c r="B67" t="inlineStr">
        <is>
          <t>USA</t>
        </is>
      </c>
      <c r="C67" t="inlineStr">
        <is>
          <t>^GSPC</t>
        </is>
      </c>
      <c r="D67" t="inlineStr">
        <is>
          <t>1.38</t>
        </is>
      </c>
    </row>
    <row r="68" ht="15" customHeight="1" s="45">
      <c r="A68" t="inlineStr">
        <is>
          <t>PAGS</t>
        </is>
      </c>
      <c r="B68" t="inlineStr">
        <is>
          <t>Brazil</t>
        </is>
      </c>
      <c r="C68" t="inlineStr">
        <is>
          <t>EWZ</t>
        </is>
      </c>
      <c r="D68" t="inlineStr">
        <is>
          <t>1.43</t>
        </is>
      </c>
    </row>
    <row r="69" ht="15" customHeight="1" s="45">
      <c r="A69" t="inlineStr">
        <is>
          <t>QCOM</t>
        </is>
      </c>
      <c r="B69" t="inlineStr">
        <is>
          <t>USA</t>
        </is>
      </c>
      <c r="C69" t="inlineStr">
        <is>
          <t>^GSPC</t>
        </is>
      </c>
      <c r="D69" t="inlineStr">
        <is>
          <t>1.48</t>
        </is>
      </c>
    </row>
    <row r="70" ht="15" customHeight="1" s="45">
      <c r="A70" t="inlineStr">
        <is>
          <t>PYPL</t>
        </is>
      </c>
      <c r="B70" t="inlineStr">
        <is>
          <t>USA</t>
        </is>
      </c>
      <c r="C70" t="inlineStr">
        <is>
          <t>^GSPC</t>
        </is>
      </c>
      <c r="D70" t="inlineStr">
        <is>
          <t>1.51</t>
        </is>
      </c>
    </row>
    <row r="71" ht="15" customHeight="1" s="45">
      <c r="A71" t="inlineStr">
        <is>
          <t>C</t>
        </is>
      </c>
      <c r="B71" t="inlineStr">
        <is>
          <t>USA</t>
        </is>
      </c>
      <c r="C71" t="inlineStr">
        <is>
          <t>^GSPC</t>
        </is>
      </c>
      <c r="D71" t="inlineStr">
        <is>
          <t>1.53</t>
        </is>
      </c>
    </row>
    <row r="72" ht="15" customHeight="1" s="45">
      <c r="A72" t="inlineStr">
        <is>
          <t>AXP</t>
        </is>
      </c>
      <c r="B72" t="inlineStr">
        <is>
          <t>USA</t>
        </is>
      </c>
      <c r="C72" t="inlineStr">
        <is>
          <t>^GSPC</t>
        </is>
      </c>
      <c r="D72" t="inlineStr">
        <is>
          <t>1.54</t>
        </is>
      </c>
    </row>
    <row r="73" ht="15" customHeight="1" s="45">
      <c r="A73" t="inlineStr">
        <is>
          <t>CDE</t>
        </is>
      </c>
      <c r="B73" t="inlineStr">
        <is>
          <t>USA</t>
        </is>
      </c>
      <c r="C73" t="inlineStr">
        <is>
          <t>^GSPC</t>
        </is>
      </c>
      <c r="D73" t="inlineStr">
        <is>
          <t>1.59</t>
        </is>
      </c>
    </row>
    <row r="74" ht="15" customHeight="1" s="45">
      <c r="A74" t="inlineStr">
        <is>
          <t>BAC</t>
        </is>
      </c>
      <c r="B74" t="inlineStr">
        <is>
          <t>USA</t>
        </is>
      </c>
      <c r="C74" t="inlineStr">
        <is>
          <t>^GSPC</t>
        </is>
      </c>
      <c r="D74" t="inlineStr">
        <is>
          <t>1.6</t>
        </is>
      </c>
    </row>
    <row r="75" ht="15" customHeight="1" s="45">
      <c r="A75" t="inlineStr">
        <is>
          <t>STNE</t>
        </is>
      </c>
      <c r="B75" t="inlineStr">
        <is>
          <t>Brazil</t>
        </is>
      </c>
      <c r="C75" t="inlineStr">
        <is>
          <t>EWZ</t>
        </is>
      </c>
      <c r="D75" t="inlineStr">
        <is>
          <t>1.69</t>
        </is>
      </c>
    </row>
    <row r="76" ht="15" customHeight="1" s="45">
      <c r="A76" t="inlineStr">
        <is>
          <t>DIS</t>
        </is>
      </c>
      <c r="B76" t="inlineStr">
        <is>
          <t>USA</t>
        </is>
      </c>
      <c r="C76" t="inlineStr">
        <is>
          <t>^GSPC</t>
        </is>
      </c>
      <c r="D76" t="inlineStr">
        <is>
          <t>1.71</t>
        </is>
      </c>
    </row>
    <row r="77" ht="15" customHeight="1" s="45">
      <c r="A77" t="inlineStr">
        <is>
          <t>META</t>
        </is>
      </c>
      <c r="B77" t="inlineStr">
        <is>
          <t>USA</t>
        </is>
      </c>
      <c r="C77" t="inlineStr">
        <is>
          <t>^GSPC</t>
        </is>
      </c>
      <c r="D77" t="inlineStr">
        <is>
          <t>1.75</t>
        </is>
      </c>
    </row>
    <row r="78" ht="15" customHeight="1" s="45">
      <c r="A78" t="inlineStr">
        <is>
          <t>INTC</t>
        </is>
      </c>
      <c r="B78" t="inlineStr">
        <is>
          <t>USA</t>
        </is>
      </c>
      <c r="C78" t="inlineStr">
        <is>
          <t>^GSPC</t>
        </is>
      </c>
      <c r="D78" t="inlineStr">
        <is>
          <t>1.82</t>
        </is>
      </c>
    </row>
    <row r="79" ht="15" customHeight="1" s="45">
      <c r="A79" t="inlineStr">
        <is>
          <t>AMD</t>
        </is>
      </c>
      <c r="B79" t="inlineStr">
        <is>
          <t>USA</t>
        </is>
      </c>
      <c r="C79" t="inlineStr">
        <is>
          <t>^GSPC</t>
        </is>
      </c>
      <c r="D79" t="inlineStr">
        <is>
          <t>1.99</t>
        </is>
      </c>
    </row>
    <row r="80" ht="15" customHeight="1" s="45">
      <c r="A80" t="inlineStr">
        <is>
          <t>TSLA</t>
        </is>
      </c>
      <c r="B80" t="inlineStr">
        <is>
          <t>USA</t>
        </is>
      </c>
      <c r="C80" t="inlineStr">
        <is>
          <t>^GSPC</t>
        </is>
      </c>
      <c r="D80" t="inlineStr">
        <is>
          <t>2.12</t>
        </is>
      </c>
    </row>
    <row r="81" ht="15" customHeight="1" s="45">
      <c r="A81" t="inlineStr">
        <is>
          <t>NVDA</t>
        </is>
      </c>
      <c r="B81" t="inlineStr">
        <is>
          <t>USA</t>
        </is>
      </c>
      <c r="C81" t="inlineStr">
        <is>
          <t>^GSPC</t>
        </is>
      </c>
      <c r="D81" t="inlineStr">
        <is>
          <t>2.19</t>
        </is>
      </c>
    </row>
    <row r="82" ht="15" customHeight="1" s="45">
      <c r="A82" t="inlineStr">
        <is>
          <t>IBIT</t>
        </is>
      </c>
      <c r="B82" t="inlineStr">
        <is>
          <t>Crypto</t>
        </is>
      </c>
      <c r="C82" t="inlineStr">
        <is>
          <t>^IXIC</t>
        </is>
      </c>
      <c r="D82" t="inlineStr">
        <is>
          <t>2.22</t>
        </is>
      </c>
    </row>
    <row r="83" ht="15" customHeight="1" s="45">
      <c r="A83" t="inlineStr">
        <is>
          <t>ORCL</t>
        </is>
      </c>
      <c r="B83" t="inlineStr">
        <is>
          <t>USA</t>
        </is>
      </c>
      <c r="C83" t="inlineStr">
        <is>
          <t>^GSPC</t>
        </is>
      </c>
      <c r="D83" t="inlineStr">
        <is>
          <t>2.27</t>
        </is>
      </c>
    </row>
  </sheetData>
  <autoFilter ref="A1:D83">
    <sortState ref="A2:D83">
      <sortCondition ref="A2:A83"/>
    </sortState>
  </autoFilter>
  <pageMargins left="0.7" right="0.7" top="0.75" bottom="0.75"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PC</dc:creator>
  <dc:language xmlns:dc="http://purl.org/dc/elements/1.1/">es-AR</dc:language>
  <dcterms:created xmlns:dcterms="http://purl.org/dc/terms/" xmlns:xsi="http://www.w3.org/2001/XMLSchema-instance" xsi:type="dcterms:W3CDTF">2016-06-27T21:58:22Z</dcterms:created>
  <dcterms:modified xmlns:dcterms="http://purl.org/dc/terms/" xmlns:xsi="http://www.w3.org/2001/XMLSchema-instance" xsi:type="dcterms:W3CDTF">2026-10-12T00:20:11Z</dcterms:modified>
  <cp:lastModifiedBy>Usuario</cp:lastModifiedBy>
  <cp:revision>185</cp:revision>
</cp:coreProperties>
</file>

<file path=docProps/custom.xml><?xml version="1.0" encoding="utf-8"?>
<Properties xmlns="http://schemas.openxmlformats.org/officeDocument/2006/custom-properties">
  <property name="HyperlinksChanged" fmtid="{D5CDD505-2E9C-101B-9397-08002B2CF9AE}" pid="2">
    <vt:bool xmlns:vt="http://schemas.openxmlformats.org/officeDocument/2006/docPropsVTypes">0</vt:bool>
  </property>
  <property name="LinksUpToDate" fmtid="{D5CDD505-2E9C-101B-9397-08002B2CF9AE}" pid="3">
    <vt:bool xmlns:vt="http://schemas.openxmlformats.org/officeDocument/2006/docPropsVTypes">0</vt:bool>
  </property>
  <property name="ScaleCrop" fmtid="{D5CDD505-2E9C-101B-9397-08002B2CF9AE}" pid="4">
    <vt:bool xmlns:vt="http://schemas.openxmlformats.org/officeDocument/2006/docPropsVTypes">0</vt:bool>
  </property>
  <property name="ShareDoc" fmtid="{D5CDD505-2E9C-101B-9397-08002B2CF9AE}" pid="5">
    <vt:bool xmlns:vt="http://schemas.openxmlformats.org/officeDocument/2006/docPropsVTypes">0</vt:bool>
  </property>
</Properties>
</file>