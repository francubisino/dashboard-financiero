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xml.rels" ContentType="application/vnd.openxmlformats-package.relationships+xml"/>
  <Override PartName="/xl/worksheets/_rels/sheet7.xml.rels" ContentType="application/vnd.openxmlformats-package.relationships+xml"/>
  <Override PartName="/xl/styles.xml" ContentType="application/vnd.openxmlformats-officedocument.spreadsheetml.styles+xml"/>
  <Override PartName="/xl/connections.xml" ContentType="application/vnd.openxmlformats-officedocument.spreadsheetml.connections+xml"/>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drawings/drawing1.xml" ContentType="application/vnd.openxmlformats-officedocument.drawing+xml"/>
  <Override PartName="/xl/drawings/drawing2.xml" ContentType="application/vnd.openxmlformats-officedocument.drawing+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_rels/item1.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Cartera Cedears" sheetId="1" state="visible" r:id="rId4"/>
    <sheet name="Precios" sheetId="2" state="hidden" r:id="rId5"/>
    <sheet name="Fundamentals" sheetId="3" state="hidden" r:id="rId6"/>
    <sheet name="Gastos" sheetId="4" state="hidden" r:id="rId7"/>
    <sheet name="Ahorro" sheetId="5" state="hidden" r:id="rId8"/>
    <sheet name="Calendario" sheetId="6" state="hidden" r:id="rId9"/>
    <sheet name="Betas" sheetId="7" state="hidden" r:id="rId10"/>
  </sheets>
  <definedNames>
    <definedName function="false" hidden="true" localSheetId="6" name="_xlnm._FilterDatabase" vbProcedure="false">Betas!$A$1:$D$83</definedName>
    <definedName function="false" hidden="false" localSheetId="1" name="precios_actuales" vbProcedure="false">Precios!$A$1:$C$128</definedName>
    <definedName function="false" hidden="false" localSheetId="6" name="beta_calculado" vbProcedure="false">Betas!$A$1:$D$83</definedName>
  </definedNames>
  <calcPr iterateCount="100" refMode="A1" iterate="false" iterateDelta="0.0001"/>
  <extLst>
    <ext xmlns:loext="http://schemas.libreoffice.org/" uri="{7626C862-2A13-11E5-B345-FEFF819CDC9F}">
      <loext:extCalcPr stringRefSyntax="ExcelA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keepAlive="0" interval="0" name="beta_calculado" type="6" reconnectionMethod="1" refreshedVersion="6" minRefreshableVersion="0" savePassword="0" new="0" deleted="0" onlyUseConnectionFile="0" background="1" refreshOnLoad="0" saveData="1">
    <dbPr/>
    <olapPr/>
    <textPr codePage="850" sourceFile="C:\Users\Usuario\Desktop\datos\Resultados\precios\beta_calculado.csv" decimal="," thousands="." tab="0" comma="1" qualifier="none">
      <textFields count="5">
        <textField type="skip"/>
        <textField/>
        <textField/>
        <textField/>
        <textField/>
      </textFields>
    </textPr>
  </connection>
  <connection id="2" keepAlive="0" interval="0" name="dolar_CCL" type="6" reconnectionMethod="1" refreshedVersion="6" minRefreshableVersion="0" savePassword="0" new="0" deleted="0" onlyUseConnectionFile="0" background="1" refreshOnLoad="0" saveData="1">
    <dbPr/>
    <olapPr/>
    <textPr codePage="850" sourceFile="C:\Users\Usuario\Desktop\datos\Resultados\precios\dolar_MEP.csv" decimal="," thousands="." tab="0" semicolon="1" qualifier="none">
      <textFields count="2">
        <textField/>
        <textField/>
      </textFields>
    </textPr>
  </connection>
  <connection id="3" keepAlive="0" interval="0" name="historico_uva" type="6" reconnectionMethod="1" refreshedVersion="6" minRefreshableVersion="0" savePassword="0" new="0" deleted="0" onlyUseConnectionFile="0" background="1" refreshOnLoad="0" saveData="1">
    <dbPr/>
    <olapPr/>
    <textPr codePage="65001" sourceFile="C:\Users\Usuario\Desktop\datos\Resultados\precios\historico_uva.csv" decimal="," tab="0" semicolon="1" qualifier="none">
      <textFields count="2">
        <textField/>
        <textField/>
      </textFields>
    </textPr>
  </connection>
  <connection id="4" keepAlive="0" interval="0" name="precio_diario_qqq_2026" type="6" reconnectionMethod="1" refreshedVersion="6" minRefreshableVersion="0" savePassword="0" new="0" deleted="0" onlyUseConnectionFile="0" background="1" refreshOnLoad="0" saveData="1">
    <dbPr/>
    <olapPr/>
    <textPr codePage="850" sourceFile="C:\Users\Usuario\Desktop\datos\Resultados\precios\precio_diario_qqq_2026.csv" decimal="," thousands="." tab="0" semicolon="1" qualifier="none">
      <textFields count="2">
        <textField/>
        <textField/>
      </textFields>
    </textPr>
  </connection>
  <connection id="5" keepAlive="0" interval="0" name="precio_diario_spy_2026" type="6" reconnectionMethod="1" refreshedVersion="6" minRefreshableVersion="0" savePassword="0" new="0" deleted="0" onlyUseConnectionFile="0" background="1" refreshOnLoad="0" saveData="1">
    <dbPr/>
    <olapPr/>
    <textPr codePage="850" sourceFile="C:\Users\Usuario\Desktop\datos\Resultados\precios\precio_diario_spy_2026.csv" decimal="," thousands="." semicolon="1" qualifier="none">
      <textFields count="2">
        <textField/>
        <textField/>
      </textFields>
    </textPr>
  </connection>
  <connection id="6" keepAlive="0" interval="0" name="precios_actuales" type="6" reconnectionMethod="1" refreshedVersion="6" minRefreshableVersion="0" savePassword="0" new="0" deleted="0" onlyUseConnectionFile="0" background="1" refreshOnLoad="0" saveData="1">
    <dbPr/>
    <olapPr/>
    <textPr codePage="850" sourceFile="C:\Users\Usuario\Desktop\datos\Resultados\precios\precios_actuales.csv" decimal="," thousands="." comma="1" qualifier="none">
      <textFields count="3">
        <textField/>
        <textField/>
        <textField/>
      </textFields>
    </textPr>
  </connection>
</connections>
</file>

<file path=xl/sharedStrings.xml><?xml version="1.0" encoding="utf-8"?>
<sst xmlns="http://schemas.openxmlformats.org/spreadsheetml/2006/main" count="793" uniqueCount="500">
  <si>
    <t xml:space="preserve">Empresa</t>
  </si>
  <si>
    <t xml:space="preserve">Cantidad</t>
  </si>
  <si>
    <t xml:space="preserve">GOOGL</t>
  </si>
  <si>
    <t xml:space="preserve">AMZN</t>
  </si>
  <si>
    <t xml:space="preserve">UBER</t>
  </si>
  <si>
    <t xml:space="preserve">NVDA</t>
  </si>
  <si>
    <t xml:space="preserve">AAPL</t>
  </si>
  <si>
    <t xml:space="preserve">AXP</t>
  </si>
  <si>
    <t xml:space="preserve">MELI</t>
  </si>
  <si>
    <t xml:space="preserve">MU</t>
  </si>
  <si>
    <t xml:space="preserve">TSLA</t>
  </si>
  <si>
    <t xml:space="preserve">CEG</t>
  </si>
  <si>
    <t xml:space="preserve">NU</t>
  </si>
  <si>
    <t xml:space="preserve">VIST</t>
  </si>
  <si>
    <t xml:space="preserve">TSM</t>
  </si>
  <si>
    <t xml:space="preserve">ASML</t>
  </si>
  <si>
    <t xml:space="preserve">AVGO</t>
  </si>
  <si>
    <t xml:space="preserve">Activo</t>
  </si>
  <si>
    <t xml:space="preserve">Precio</t>
  </si>
  <si>
    <t xml:space="preserve">26840.00</t>
  </si>
  <si>
    <t xml:space="preserve">ABBV</t>
  </si>
  <si>
    <t xml:space="preserve">42360.00</t>
  </si>
  <si>
    <t xml:space="preserve">ABT</t>
  </si>
  <si>
    <t xml:space="preserve">41060.00</t>
  </si>
  <si>
    <t xml:space="preserve">ACN</t>
  </si>
  <si>
    <t xml:space="preserve">3907.50</t>
  </si>
  <si>
    <t xml:space="preserve">ADBE</t>
  </si>
  <si>
    <t xml:space="preserve">9085.00</t>
  </si>
  <si>
    <t xml:space="preserve">ADI</t>
  </si>
  <si>
    <t xml:space="preserve">39400.00</t>
  </si>
  <si>
    <t xml:space="preserve">ADP</t>
  </si>
  <si>
    <t xml:space="preserve">72350.00</t>
  </si>
  <si>
    <t xml:space="preserve">AMAT</t>
  </si>
  <si>
    <t xml:space="preserve">139200.00</t>
  </si>
  <si>
    <t xml:space="preserve">AMD</t>
  </si>
  <si>
    <t xml:space="preserve">87025.00</t>
  </si>
  <si>
    <t xml:space="preserve">AMGN</t>
  </si>
  <si>
    <t xml:space="preserve">20530.00</t>
  </si>
  <si>
    <t xml:space="preserve">2830.00</t>
  </si>
  <si>
    <t xml:space="preserve">ANET</t>
  </si>
  <si>
    <t xml:space="preserve">10940.00</t>
  </si>
  <si>
    <t xml:space="preserve">ARM</t>
  </si>
  <si>
    <t xml:space="preserve">15920.00</t>
  </si>
  <si>
    <t xml:space="preserve">18080.00</t>
  </si>
  <si>
    <t xml:space="preserve">ASTS</t>
  </si>
  <si>
    <t xml:space="preserve">6230.00</t>
  </si>
  <si>
    <t xml:space="preserve">14540.00</t>
  </si>
  <si>
    <t xml:space="preserve">33300.00</t>
  </si>
  <si>
    <t xml:space="preserve">B</t>
  </si>
  <si>
    <t xml:space="preserve">34720.00</t>
  </si>
  <si>
    <t xml:space="preserve">BA</t>
  </si>
  <si>
    <t xml:space="preserve">13240.00</t>
  </si>
  <si>
    <t xml:space="preserve">BABA</t>
  </si>
  <si>
    <t xml:space="preserve">20170.00</t>
  </si>
  <si>
    <t xml:space="preserve">BHP</t>
  </si>
  <si>
    <t xml:space="preserve">68725.00</t>
  </si>
  <si>
    <t xml:space="preserve">BMY</t>
  </si>
  <si>
    <t xml:space="preserve">33380.00</t>
  </si>
  <si>
    <t xml:space="preserve">BRK-B</t>
  </si>
  <si>
    <t xml:space="preserve">37220.00</t>
  </si>
  <si>
    <t xml:space="preserve">BX</t>
  </si>
  <si>
    <t xml:space="preserve">6660.00</t>
  </si>
  <si>
    <t xml:space="preserve">C</t>
  </si>
  <si>
    <t xml:space="preserve">70350.00</t>
  </si>
  <si>
    <t xml:space="preserve">CAT</t>
  </si>
  <si>
    <t xml:space="preserve">64125.00</t>
  </si>
  <si>
    <t xml:space="preserve">CDE</t>
  </si>
  <si>
    <t xml:space="preserve">31860.00</t>
  </si>
  <si>
    <t xml:space="preserve">9155.00</t>
  </si>
  <si>
    <t xml:space="preserve">COP</t>
  </si>
  <si>
    <t xml:space="preserve">8450.00</t>
  </si>
  <si>
    <t xml:space="preserve">COST</t>
  </si>
  <si>
    <t xml:space="preserve">29920.00</t>
  </si>
  <si>
    <t xml:space="preserve">CRM</t>
  </si>
  <si>
    <t xml:space="preserve">21240.00</t>
  </si>
  <si>
    <t xml:space="preserve">CRWD</t>
  </si>
  <si>
    <t xml:space="preserve">4855.00</t>
  </si>
  <si>
    <t xml:space="preserve">CRWV</t>
  </si>
  <si>
    <t xml:space="preserve">4760.00</t>
  </si>
  <si>
    <t xml:space="preserve">CSCO</t>
  </si>
  <si>
    <t xml:space="preserve">34840.00</t>
  </si>
  <si>
    <t xml:space="preserve">CVX</t>
  </si>
  <si>
    <t xml:space="preserve">21030.00</t>
  </si>
  <si>
    <t xml:space="preserve">DE</t>
  </si>
  <si>
    <t xml:space="preserve">27280.00</t>
  </si>
  <si>
    <t xml:space="preserve">DELL</t>
  </si>
  <si>
    <t xml:space="preserve">12410.00</t>
  </si>
  <si>
    <t xml:space="preserve">DOW</t>
  </si>
  <si>
    <t xml:space="preserve">7675.00</t>
  </si>
  <si>
    <t xml:space="preserve">EBAY</t>
  </si>
  <si>
    <t xml:space="preserve">89900.00</t>
  </si>
  <si>
    <t xml:space="preserve">FCX</t>
  </si>
  <si>
    <t xml:space="preserve">37880.00</t>
  </si>
  <si>
    <t xml:space="preserve">FSLR</t>
  </si>
  <si>
    <t xml:space="preserve">17290.00</t>
  </si>
  <si>
    <t xml:space="preserve">GE</t>
  </si>
  <si>
    <t xml:space="preserve">62600.00</t>
  </si>
  <si>
    <t xml:space="preserve">GEV</t>
  </si>
  <si>
    <t xml:space="preserve">8330.00</t>
  </si>
  <si>
    <t xml:space="preserve">GILD</t>
  </si>
  <si>
    <t xml:space="preserve">60575.00</t>
  </si>
  <si>
    <t xml:space="preserve">GLOB</t>
  </si>
  <si>
    <t xml:space="preserve">3205.00</t>
  </si>
  <si>
    <t xml:space="preserve">9705.00</t>
  </si>
  <si>
    <t xml:space="preserve">HMY</t>
  </si>
  <si>
    <t xml:space="preserve">31780.00</t>
  </si>
  <si>
    <t xml:space="preserve">IBKR</t>
  </si>
  <si>
    <t xml:space="preserve">8470.00</t>
  </si>
  <si>
    <t xml:space="preserve">IBM</t>
  </si>
  <si>
    <t xml:space="preserve">24670.00</t>
  </si>
  <si>
    <t xml:space="preserve">INTC</t>
  </si>
  <si>
    <t xml:space="preserve">34180.00</t>
  </si>
  <si>
    <t xml:space="preserve">IREN</t>
  </si>
  <si>
    <t xml:space="preserve">6115.00</t>
  </si>
  <si>
    <t xml:space="preserve">JNJ</t>
  </si>
  <si>
    <t xml:space="preserve">28940.00</t>
  </si>
  <si>
    <t xml:space="preserve">JPM</t>
  </si>
  <si>
    <t xml:space="preserve">37160.00</t>
  </si>
  <si>
    <t xml:space="preserve">KLAC</t>
  </si>
  <si>
    <t xml:space="preserve">8175.00</t>
  </si>
  <si>
    <t xml:space="preserve">KMB</t>
  </si>
  <si>
    <t xml:space="preserve">26160.00</t>
  </si>
  <si>
    <t xml:space="preserve">KO</t>
  </si>
  <si>
    <t xml:space="preserve">28220.00</t>
  </si>
  <si>
    <t xml:space="preserve">LLY</t>
  </si>
  <si>
    <t xml:space="preserve">33020.00</t>
  </si>
  <si>
    <t xml:space="preserve">LMT</t>
  </si>
  <si>
    <t xml:space="preserve">42760.00</t>
  </si>
  <si>
    <t xml:space="preserve">LRCX</t>
  </si>
  <si>
    <t xml:space="preserve">8050.00</t>
  </si>
  <si>
    <t xml:space="preserve">MA</t>
  </si>
  <si>
    <t xml:space="preserve">27520.00</t>
  </si>
  <si>
    <t xml:space="preserve">MCD</t>
  </si>
  <si>
    <t xml:space="preserve">16640.00</t>
  </si>
  <si>
    <t xml:space="preserve">24060.00</t>
  </si>
  <si>
    <t xml:space="preserve">META</t>
  </si>
  <si>
    <t xml:space="preserve">44820.00</t>
  </si>
  <si>
    <t xml:space="preserve">MO</t>
  </si>
  <si>
    <t xml:space="preserve">27800.00</t>
  </si>
  <si>
    <t xml:space="preserve">MRK</t>
  </si>
  <si>
    <t xml:space="preserve">46840.00</t>
  </si>
  <si>
    <t xml:space="preserve">MRVL</t>
  </si>
  <si>
    <t xml:space="preserve">27100.00</t>
  </si>
  <si>
    <t xml:space="preserve">MS</t>
  </si>
  <si>
    <t xml:space="preserve">7870.00</t>
  </si>
  <si>
    <t xml:space="preserve">MSFT</t>
  </si>
  <si>
    <t xml:space="preserve">26440.00</t>
  </si>
  <si>
    <t xml:space="preserve">MSTR</t>
  </si>
  <si>
    <t xml:space="preserve">12130.00</t>
  </si>
  <si>
    <t xml:space="preserve">322475.00</t>
  </si>
  <si>
    <t xml:space="preserve">NBIS</t>
  </si>
  <si>
    <t xml:space="preserve">13120.00</t>
  </si>
  <si>
    <t xml:space="preserve">NEE</t>
  </si>
  <si>
    <t xml:space="preserve">6780.00</t>
  </si>
  <si>
    <t xml:space="preserve">NEM</t>
  </si>
  <si>
    <t xml:space="preserve">65825.00</t>
  </si>
  <si>
    <t xml:space="preserve">NFLX</t>
  </si>
  <si>
    <t xml:space="preserve">2399.00</t>
  </si>
  <si>
    <t xml:space="preserve">NIO</t>
  </si>
  <si>
    <t xml:space="preserve">1475.00</t>
  </si>
  <si>
    <t xml:space="preserve">NKE</t>
  </si>
  <si>
    <t xml:space="preserve">4742.50</t>
  </si>
  <si>
    <t xml:space="preserve">NOK</t>
  </si>
  <si>
    <t xml:space="preserve">16880.00</t>
  </si>
  <si>
    <t xml:space="preserve">NOW</t>
  </si>
  <si>
    <t xml:space="preserve">1276.00</t>
  </si>
  <si>
    <t xml:space="preserve">10960.00</t>
  </si>
  <si>
    <t xml:space="preserve">14640.00</t>
  </si>
  <si>
    <t xml:space="preserve">OKLO</t>
  </si>
  <si>
    <t xml:space="preserve">2160.00</t>
  </si>
  <si>
    <t xml:space="preserve">ORCL</t>
  </si>
  <si>
    <t xml:space="preserve">78525.00</t>
  </si>
  <si>
    <t xml:space="preserve">PAAS</t>
  </si>
  <si>
    <t xml:space="preserve">26640.00</t>
  </si>
  <si>
    <t xml:space="preserve">PAGS</t>
  </si>
  <si>
    <t xml:space="preserve">4990.00</t>
  </si>
  <si>
    <t xml:space="preserve">PBR</t>
  </si>
  <si>
    <t xml:space="preserve">33340.00</t>
  </si>
  <si>
    <t xml:space="preserve">PEP</t>
  </si>
  <si>
    <t xml:space="preserve">11590.00</t>
  </si>
  <si>
    <t xml:space="preserve">PFE</t>
  </si>
  <si>
    <t xml:space="preserve">11000.00</t>
  </si>
  <si>
    <t xml:space="preserve">PG</t>
  </si>
  <si>
    <t xml:space="preserve">15640.00</t>
  </si>
  <si>
    <t xml:space="preserve">PLTR</t>
  </si>
  <si>
    <t xml:space="preserve">94275.00</t>
  </si>
  <si>
    <t xml:space="preserve">PYPL</t>
  </si>
  <si>
    <t xml:space="preserve">10480.00</t>
  </si>
  <si>
    <t xml:space="preserve">QCOM</t>
  </si>
  <si>
    <t xml:space="preserve">25920.00</t>
  </si>
  <si>
    <t xml:space="preserve">RIO</t>
  </si>
  <si>
    <t xml:space="preserve">19410.00</t>
  </si>
  <si>
    <t xml:space="preserve">RKLB</t>
  </si>
  <si>
    <t xml:space="preserve">8550.00</t>
  </si>
  <si>
    <t xml:space="preserve">RTX</t>
  </si>
  <si>
    <t xml:space="preserve">61850.00</t>
  </si>
  <si>
    <t xml:space="preserve">SCCO</t>
  </si>
  <si>
    <t xml:space="preserve">155875.00</t>
  </si>
  <si>
    <t xml:space="preserve">SHEL</t>
  </si>
  <si>
    <t xml:space="preserve">75475.00</t>
  </si>
  <si>
    <t xml:space="preserve">SNDK</t>
  </si>
  <si>
    <t xml:space="preserve">16350.00</t>
  </si>
  <si>
    <t xml:space="preserve">SNOW</t>
  </si>
  <si>
    <t xml:space="preserve">17800.00</t>
  </si>
  <si>
    <t xml:space="preserve">SPCX</t>
  </si>
  <si>
    <t xml:space="preserve">4805.00</t>
  </si>
  <si>
    <t xml:space="preserve">SPOT</t>
  </si>
  <si>
    <t xml:space="preserve">29400.00</t>
  </si>
  <si>
    <t xml:space="preserve">STNE</t>
  </si>
  <si>
    <t xml:space="preserve">5175.00</t>
  </si>
  <si>
    <t xml:space="preserve">T</t>
  </si>
  <si>
    <t xml:space="preserve">13610.00</t>
  </si>
  <si>
    <t xml:space="preserve">TGT</t>
  </si>
  <si>
    <t xml:space="preserve">10470.00</t>
  </si>
  <si>
    <t xml:space="preserve">TLN</t>
  </si>
  <si>
    <t xml:space="preserve">7435.00</t>
  </si>
  <si>
    <t xml:space="preserve">38720.00</t>
  </si>
  <si>
    <t xml:space="preserve">76375.00</t>
  </si>
  <si>
    <t xml:space="preserve">TXN</t>
  </si>
  <si>
    <t xml:space="preserve">84275.00</t>
  </si>
  <si>
    <t xml:space="preserve">56500.00</t>
  </si>
  <si>
    <t xml:space="preserve">UNH</t>
  </si>
  <si>
    <t xml:space="preserve">18220.00</t>
  </si>
  <si>
    <t xml:space="preserve">V</t>
  </si>
  <si>
    <t xml:space="preserve">32880.00</t>
  </si>
  <si>
    <t xml:space="preserve">VALE</t>
  </si>
  <si>
    <t xml:space="preserve">11360.00</t>
  </si>
  <si>
    <t xml:space="preserve">38680.00</t>
  </si>
  <si>
    <t xml:space="preserve">VST</t>
  </si>
  <si>
    <t xml:space="preserve">8730.00</t>
  </si>
  <si>
    <t xml:space="preserve">VZ</t>
  </si>
  <si>
    <t xml:space="preserve">19230.00</t>
  </si>
  <si>
    <t xml:space="preserve">WDC</t>
  </si>
  <si>
    <t xml:space="preserve">7695.00</t>
  </si>
  <si>
    <t xml:space="preserve">WFC</t>
  </si>
  <si>
    <t xml:space="preserve">27640.00</t>
  </si>
  <si>
    <t xml:space="preserve">WMT</t>
  </si>
  <si>
    <t xml:space="preserve">9565.00</t>
  </si>
  <si>
    <t xml:space="preserve">XOM</t>
  </si>
  <si>
    <t xml:space="preserve">25960.00</t>
  </si>
  <si>
    <t xml:space="preserve">SPY</t>
  </si>
  <si>
    <t xml:space="preserve">20310.00</t>
  </si>
  <si>
    <t xml:space="preserve">QQQ</t>
  </si>
  <si>
    <t xml:space="preserve">57525.00</t>
  </si>
  <si>
    <t xml:space="preserve">AL30</t>
  </si>
  <si>
    <t xml:space="preserve">85260.00</t>
  </si>
  <si>
    <t xml:space="preserve">AL30D</t>
  </si>
  <si>
    <t xml:space="preserve">55.52</t>
  </si>
  <si>
    <t xml:space="preserve">AL35</t>
  </si>
  <si>
    <t xml:space="preserve">113560.00</t>
  </si>
  <si>
    <t xml:space="preserve">AL35D</t>
  </si>
  <si>
    <t xml:space="preserve">73.93</t>
  </si>
  <si>
    <t xml:space="preserve">T15E7</t>
  </si>
  <si>
    <t xml:space="preserve">149.50</t>
  </si>
  <si>
    <t xml:space="preserve">T30A7</t>
  </si>
  <si>
    <t xml:space="preserve">135.19</t>
  </si>
  <si>
    <t xml:space="preserve">TTD26</t>
  </si>
  <si>
    <t xml:space="preserve">170.72</t>
  </si>
  <si>
    <t xml:space="preserve">Ingresos</t>
  </si>
  <si>
    <t xml:space="preserve">Beneficios</t>
  </si>
  <si>
    <t xml:space="preserve">Segmento dominante</t>
  </si>
  <si>
    <t xml:space="preserve">% ingresos</t>
  </si>
  <si>
    <t xml:space="preserve">Motor real de ganancias</t>
  </si>
  <si>
    <t xml:space="preserve">% beneficios</t>
  </si>
  <si>
    <t xml:space="preserve">Microsoft</t>
  </si>
  <si>
    <t xml:space="preserve">Productivity + Cloud</t>
  </si>
  <si>
    <t xml:space="preserve">bastante balanceado</t>
  </si>
  <si>
    <t xml:space="preserve">Office + Cloud</t>
  </si>
  <si>
    <t xml:space="preserve">54% office, 35% cloud</t>
  </si>
  <si>
    <t xml:space="preserve">Alphabet</t>
  </si>
  <si>
    <t xml:space="preserve">Google Services (incluye Search / Ads)</t>
  </si>
  <si>
    <t xml:space="preserve">~85%</t>
  </si>
  <si>
    <t xml:space="preserve">Search / Ads</t>
  </si>
  <si>
    <t xml:space="preserve">80-90%</t>
  </si>
  <si>
    <t xml:space="preserve">Amazon (referencia)</t>
  </si>
  <si>
    <t xml:space="preserve">Retail</t>
  </si>
  <si>
    <t xml:space="preserve">~40%</t>
  </si>
  <si>
    <t xml:space="preserve">AWS + Ads</t>
  </si>
  <si>
    <t xml:space="preserve">60-70%</t>
  </si>
  <si>
    <t xml:space="preserve">Apple</t>
  </si>
  <si>
    <t xml:space="preserve">Hardware + servicios (icloud, app store)</t>
  </si>
  <si>
    <t xml:space="preserve">75% y 25%</t>
  </si>
  <si>
    <t xml:space="preserve">Hardware + servicios</t>
  </si>
  <si>
    <t xml:space="preserve">~55–65% y ~35–45% </t>
  </si>
  <si>
    <t xml:space="preserve">Fabricación de máquinas de chips</t>
  </si>
  <si>
    <t xml:space="preserve">Top 3 fabricacion de chips</t>
  </si>
  <si>
    <t xml:space="preserve">Top 3 fabricación de memorias (RAM, almacenamiento)</t>
  </si>
  <si>
    <t xml:space="preserve">Top 3 diseño de chips</t>
  </si>
  <si>
    <t xml:space="preserve">TSMC</t>
  </si>
  <si>
    <t xml:space="preserve">Samsung</t>
  </si>
  <si>
    <t xml:space="preserve">Nvidia (lider en IA, gracias a CUDA -software-)</t>
  </si>
  <si>
    <t xml:space="preserve">sk hynix (lider en memorias de HBM, para IA)</t>
  </si>
  <si>
    <t xml:space="preserve">AMD (más fuerte en CPUs y mercados generales)</t>
  </si>
  <si>
    <t xml:space="preserve">Intel</t>
  </si>
  <si>
    <t xml:space="preserve">micron (único con cedear)</t>
  </si>
  <si>
    <t xml:space="preserve">Fabricación de chips de networking (para transferencia de datos en servidores)</t>
  </si>
  <si>
    <t xml:space="preserve">AVGO (domina en volumen con el 65% del mercado)</t>
  </si>
  <si>
    <t xml:space="preserve">NVDA (domina en performance. Para IA)</t>
  </si>
  <si>
    <t xml:space="preserve">% de ahorro por diferencia entre ingresos y total de gastos mensuales</t>
  </si>
  <si>
    <t xml:space="preserve">Concepto</t>
  </si>
  <si>
    <t xml:space="preserve">Enero</t>
  </si>
  <si>
    <t xml:space="preserve">Febrero</t>
  </si>
  <si>
    <t xml:space="preserve">Marzo</t>
  </si>
  <si>
    <t xml:space="preserve">Abril</t>
  </si>
  <si>
    <t xml:space="preserve">Mayo</t>
  </si>
  <si>
    <t xml:space="preserve">Junio</t>
  </si>
  <si>
    <t xml:space="preserve">Julio</t>
  </si>
  <si>
    <t xml:space="preserve">Agosto</t>
  </si>
  <si>
    <t xml:space="preserve">Septiembre</t>
  </si>
  <si>
    <t xml:space="preserve">Octubre</t>
  </si>
  <si>
    <t xml:space="preserve">Noviembre</t>
  </si>
  <si>
    <t xml:space="preserve">Diciembre</t>
  </si>
  <si>
    <t xml:space="preserve">Combi</t>
  </si>
  <si>
    <t xml:space="preserve">Cochera</t>
  </si>
  <si>
    <t xml:space="preserve">Expensas</t>
  </si>
  <si>
    <t xml:space="preserve">Gimnasio</t>
  </si>
  <si>
    <t xml:space="preserve">-</t>
  </si>
  <si>
    <t xml:space="preserve">Extracciones BNA</t>
  </si>
  <si>
    <t xml:space="preserve">Pagos MP</t>
  </si>
  <si>
    <t xml:space="preserve">Tarjeta BNA</t>
  </si>
  <si>
    <t xml:space="preserve">Tarjeta Provincia</t>
  </si>
  <si>
    <t xml:space="preserve">Total Gastos</t>
  </si>
  <si>
    <t xml:space="preserve">Ahorro</t>
  </si>
  <si>
    <t xml:space="preserve">% Ahorro</t>
  </si>
  <si>
    <t xml:space="preserve">pago salon casamiento</t>
  </si>
  <si>
    <t xml:space="preserve">pago 1ra cuota casamiento</t>
  </si>
  <si>
    <t xml:space="preserve">* Los rojos no se suman porque los pago en efectivo. Ya están contemplados en las extracciones</t>
  </si>
  <si>
    <t xml:space="preserve">BNA</t>
  </si>
  <si>
    <t xml:space="preserve">agosto</t>
  </si>
  <si>
    <t xml:space="preserve">MercadoPago</t>
  </si>
  <si>
    <t xml:space="preserve">abril</t>
  </si>
  <si>
    <t xml:space="preserve">mayo</t>
  </si>
  <si>
    <t xml:space="preserve">junio</t>
  </si>
  <si>
    <t xml:space="preserve">julio</t>
  </si>
  <si>
    <t xml:space="preserve">ago</t>
  </si>
  <si>
    <t xml:space="preserve">Transferencias a IEB</t>
  </si>
  <si>
    <t xml:space="preserve">Monto</t>
  </si>
  <si>
    <t xml:space="preserve">Fecha</t>
  </si>
  <si>
    <t xml:space="preserve">$</t>
  </si>
  <si>
    <t xml:space="preserve">u$d</t>
  </si>
  <si>
    <t xml:space="preserve">Días transcurridos</t>
  </si>
  <si>
    <t xml:space="preserve">Ahorro estimado anual</t>
  </si>
  <si>
    <t xml:space="preserve">desde cocos</t>
  </si>
  <si>
    <t xml:space="preserve">Anotaciones</t>
  </si>
  <si>
    <t xml:space="preserve">Tipo anotación</t>
  </si>
  <si>
    <t xml:space="preserve">Comienzo el año con una cartera bastante agresiva. Con un 30-30-30% aproximadamente en cedears (SPY y QQQ), argy (energéticas + FCI oil &amp; gas -Delta recursos naturales-) y bonos soberanos largos (y FCI cer + duales -FCI IAM renta plus-)</t>
  </si>
  <si>
    <t xml:space="preserve">Inicio de año</t>
  </si>
  <si>
    <t xml:space="preserve">Elecciones legislativas en CABA con malos resultados para LLA. Empieza a caer el Merval</t>
  </si>
  <si>
    <t xml:space="preserve">Elecciones</t>
  </si>
  <si>
    <t xml:space="preserve">Rotación de cedears (SPY y QQQ) a Lecaps</t>
  </si>
  <si>
    <t xml:space="preserve">Rotaciones</t>
  </si>
  <si>
    <t xml:space="preserve">Empiezo a armar una cartera de cedears poniendo foco en activos defensivos (BRKB + XLV), commodities, pequeño % en Brasil, BTC y lo restante en empresas tecnológicas</t>
  </si>
  <si>
    <t xml:space="preserve">Armado cartera</t>
  </si>
  <si>
    <t xml:space="preserve">Elecciones legislativas provincia Buenos Aires con malos resultados para LLA. Empieza a caer el Merval</t>
  </si>
  <si>
    <t xml:space="preserve">Comienzo a dolarizar (vendo letras y compro oficial y mep) anticipándome a un mal resultado en las elecciones legislativas del 26/10</t>
  </si>
  <si>
    <t xml:space="preserve">Dolarización</t>
  </si>
  <si>
    <t xml:space="preserve">Cambio de broker. Comienzo a vender activos en Cocos para pasarme a IEB.</t>
  </si>
  <si>
    <t xml:space="preserve">Cambio broker</t>
  </si>
  <si>
    <t xml:space="preserve">Elecciones legislativas nacionales con buenos resultados para LLA. Empieza a subir mucho el Merval</t>
  </si>
  <si>
    <t xml:space="preserve">Vendo el FCI delta recursos naturales (argy) y paso todo a letras de mayo/26</t>
  </si>
  <si>
    <t xml:space="preserve">Rotación de letras a cedears defensivos (XLV)</t>
  </si>
  <si>
    <t xml:space="preserve">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</si>
  <si>
    <t xml:space="preserve">Cierre de año</t>
  </si>
  <si>
    <t xml:space="preserve">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</si>
  <si>
    <t xml:space="preserve">En el 1er semestre se da la liquidacion fuerte del agro, lo que significa entrada de dólares</t>
  </si>
  <si>
    <t xml:space="preserve">1er semestre 2026</t>
  </si>
  <si>
    <t xml:space="preserve">Transferencia de operaciones de TikTok en EEUU a un consorcio de inversores locales (Oracle entre estos). ByteDance, dueña China de TikTok, no tendrá acceso a la información de los usuarios estadounidenses ni influencia sobre el algoritmo utilizado en ese mercado</t>
  </si>
  <si>
    <t xml:space="preserve">Hecho relevante EEUU</t>
  </si>
  <si>
    <t xml:space="preserve">MSFT, META, GOOGL, TSM, VZ, MCD, NKE, KO, PG, WMT, CVX, XOM, AXP, BAC, C, JPM, WFC, ABBV, JNJ, LLY, PFE, LMT, IBM, V, NFLX, AMZN, EBAY, TSLA, PEP, AAPL, INTC, MO, GE</t>
  </si>
  <si>
    <t xml:space="preserve">Presentación balances</t>
  </si>
  <si>
    <t xml:space="preserve">31/2/2026</t>
  </si>
  <si>
    <t xml:space="preserve">NVDA, PBR, VALE, VIST, GLOB, PAGS, STNE, MELI, BRKB, AMD, CSCO, PYPL, QCOM, DIS</t>
  </si>
  <si>
    <t xml:space="preserve">ORCL, COST, AVGO</t>
  </si>
  <si>
    <t xml:space="preserve">31/4/2026</t>
  </si>
  <si>
    <t xml:space="preserve">NVDA, NUBANK, PBR, VALE, VIST, GLOB, PAGS, STNE, MELI, BRKB, AMD, CSCO, PYPL, QCOM, DIS</t>
  </si>
  <si>
    <t xml:space="preserve">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</si>
  <si>
    <t xml:space="preserve">31/6/2026</t>
  </si>
  <si>
    <t xml:space="preserve">31/9/2026</t>
  </si>
  <si>
    <t xml:space="preserve">Elecciones presidenciales en Brasil. 1ra vuelta. Tiene que haber uno con más del 50% para evitar la 2da vuelta</t>
  </si>
  <si>
    <t xml:space="preserve">Hecho relevante Brasil</t>
  </si>
  <si>
    <t xml:space="preserve">Elecciones presidenciales en Brasil. 2da vuelta</t>
  </si>
  <si>
    <t xml:space="preserve">Elecciones legislativas en EEUU. Históricamente, el partido del presidente tiende a perder bancas.</t>
  </si>
  <si>
    <t xml:space="preserve">31/11/2026</t>
  </si>
  <si>
    <t xml:space="preserve">Pendientes</t>
  </si>
  <si>
    <t xml:space="preserve">Cargar MEP historico del AL30 o similar</t>
  </si>
  <si>
    <t xml:space="preserve">Escenario</t>
  </si>
  <si>
    <t xml:space="preserve">Instrumento de cobertura</t>
  </si>
  <si>
    <t xml:space="preserve">Suba de dólar</t>
  </si>
  <si>
    <t xml:space="preserve">cedears, dólar billete</t>
  </si>
  <si>
    <t xml:space="preserve">Dólar estable</t>
  </si>
  <si>
    <t xml:space="preserve">renta fija</t>
  </si>
  <si>
    <t xml:space="preserve">Suba de inflación</t>
  </si>
  <si>
    <t xml:space="preserve">CER, UVA</t>
  </si>
  <si>
    <t xml:space="preserve">Corrección USA</t>
  </si>
  <si>
    <t xml:space="preserve">oro, plata, renta variable con bajo beta (xlv,brkb,etc.)</t>
  </si>
  <si>
    <t xml:space="preserve">Suba de tasas</t>
  </si>
  <si>
    <t xml:space="preserve">Baja de tasas</t>
  </si>
  <si>
    <t xml:space="preserve">oro, plata, renta variable</t>
  </si>
  <si>
    <t xml:space="preserve">En Febrero el Merval suele corregir</t>
  </si>
  <si>
    <t xml:space="preserve">En el 1er semestre se da la liquidacion fuerte del agro, lo que significa entrada de dólares. Ver grafico del MEP anual x años y comparar si en el primer semestra baja o està estable</t>
  </si>
  <si>
    <t xml:space="preserve">No tener tanto % en argy porque es muy volatil (sumando acciones, bonos, letras..). Establecer % maximo</t>
  </si>
  <si>
    <t xml:space="preserve">% de tasa (cer o UVA preferentemente)</t>
  </si>
  <si>
    <t xml:space="preserve">% alto de dolarización (cedears, FCI en dolares). Subir o bajar % según estabilidad del TC</t>
  </si>
  <si>
    <t xml:space="preserve">% bajo en btc</t>
  </si>
  <si>
    <t xml:space="preserve">%  brasil long</t>
  </si>
  <si>
    <t xml:space="preserve">Grupo</t>
  </si>
  <si>
    <t xml:space="preserve">Benchmark</t>
  </si>
  <si>
    <t xml:space="preserve">Beta (3Y mensual)</t>
  </si>
  <si>
    <t xml:space="preserve">USA</t>
  </si>
  <si>
    <t xml:space="preserve">^GSPC</t>
  </si>
  <si>
    <t xml:space="preserve">-0.32</t>
  </si>
  <si>
    <t xml:space="preserve">GLD</t>
  </si>
  <si>
    <t xml:space="preserve">Commodities</t>
  </si>
  <si>
    <t xml:space="preserve">-0.2</t>
  </si>
  <si>
    <t xml:space="preserve">-0.11</t>
  </si>
  <si>
    <t xml:space="preserve">-0.01</t>
  </si>
  <si>
    <t xml:space="preserve">0.12</t>
  </si>
  <si>
    <t xml:space="preserve">0.13</t>
  </si>
  <si>
    <t xml:space="preserve">SLV</t>
  </si>
  <si>
    <t xml:space="preserve">0.16</t>
  </si>
  <si>
    <t xml:space="preserve">0.17</t>
  </si>
  <si>
    <t xml:space="preserve">0.19</t>
  </si>
  <si>
    <t xml:space="preserve">0.2</t>
  </si>
  <si>
    <t xml:space="preserve">0.21</t>
  </si>
  <si>
    <t xml:space="preserve">0.22</t>
  </si>
  <si>
    <t xml:space="preserve">0.23</t>
  </si>
  <si>
    <t xml:space="preserve">0.3</t>
  </si>
  <si>
    <t xml:space="preserve">0.31</t>
  </si>
  <si>
    <t xml:space="preserve">BRKB</t>
  </si>
  <si>
    <t xml:space="preserve">0.32</t>
  </si>
  <si>
    <t xml:space="preserve">0.36</t>
  </si>
  <si>
    <t xml:space="preserve">0.38</t>
  </si>
  <si>
    <t xml:space="preserve">XLE</t>
  </si>
  <si>
    <t xml:space="preserve">0.39</t>
  </si>
  <si>
    <t xml:space="preserve">0.4</t>
  </si>
  <si>
    <t xml:space="preserve">XLP</t>
  </si>
  <si>
    <t xml:space="preserve">0.41</t>
  </si>
  <si>
    <t xml:space="preserve">0.48</t>
  </si>
  <si>
    <t xml:space="preserve">0.49</t>
  </si>
  <si>
    <t xml:space="preserve">0.54</t>
  </si>
  <si>
    <t xml:space="preserve">XLU</t>
  </si>
  <si>
    <t xml:space="preserve">0.55</t>
  </si>
  <si>
    <t xml:space="preserve">XLV</t>
  </si>
  <si>
    <t xml:space="preserve">0.6</t>
  </si>
  <si>
    <t xml:space="preserve">0.64</t>
  </si>
  <si>
    <t xml:space="preserve">0.77</t>
  </si>
  <si>
    <t xml:space="preserve">0.81</t>
  </si>
  <si>
    <t xml:space="preserve">0.84</t>
  </si>
  <si>
    <t xml:space="preserve">0.86</t>
  </si>
  <si>
    <t xml:space="preserve">0.88</t>
  </si>
  <si>
    <t xml:space="preserve">COPX</t>
  </si>
  <si>
    <t xml:space="preserve">0.89</t>
  </si>
  <si>
    <t xml:space="preserve">XLB</t>
  </si>
  <si>
    <t xml:space="preserve">0.91</t>
  </si>
  <si>
    <t xml:space="preserve">XLC</t>
  </si>
  <si>
    <t xml:space="preserve">0.95</t>
  </si>
  <si>
    <t xml:space="preserve">0.97</t>
  </si>
  <si>
    <t xml:space="preserve">XLRE</t>
  </si>
  <si>
    <t xml:space="preserve">0.99</t>
  </si>
  <si>
    <t xml:space="preserve">XLF</t>
  </si>
  <si>
    <t xml:space="preserve">1.0</t>
  </si>
  <si>
    <t xml:space="preserve">1.01</t>
  </si>
  <si>
    <t xml:space="preserve">1.03</t>
  </si>
  <si>
    <t xml:space="preserve">EWZ</t>
  </si>
  <si>
    <t xml:space="preserve">Brazil</t>
  </si>
  <si>
    <t xml:space="preserve">XLI</t>
  </si>
  <si>
    <t xml:space="preserve">1.11</t>
  </si>
  <si>
    <t xml:space="preserve">1.12</t>
  </si>
  <si>
    <t xml:space="preserve">1.14</t>
  </si>
  <si>
    <t xml:space="preserve">1.16</t>
  </si>
  <si>
    <t xml:space="preserve">1.17</t>
  </si>
  <si>
    <t xml:space="preserve">1.21</t>
  </si>
  <si>
    <t xml:space="preserve">1.24</t>
  </si>
  <si>
    <t xml:space="preserve">XLK</t>
  </si>
  <si>
    <t xml:space="preserve">1.29</t>
  </si>
  <si>
    <t xml:space="preserve">1.3</t>
  </si>
  <si>
    <t xml:space="preserve">1.33</t>
  </si>
  <si>
    <t xml:space="preserve">XLY</t>
  </si>
  <si>
    <t xml:space="preserve">1.38</t>
  </si>
  <si>
    <t xml:space="preserve">1.43</t>
  </si>
  <si>
    <t xml:space="preserve">1.48</t>
  </si>
  <si>
    <t xml:space="preserve">1.51</t>
  </si>
  <si>
    <t xml:space="preserve">1.53</t>
  </si>
  <si>
    <t xml:space="preserve">1.54</t>
  </si>
  <si>
    <t xml:space="preserve">1.59</t>
  </si>
  <si>
    <t xml:space="preserve">BAC</t>
  </si>
  <si>
    <t xml:space="preserve">1.6</t>
  </si>
  <si>
    <t xml:space="preserve">1.69</t>
  </si>
  <si>
    <t xml:space="preserve">DIS</t>
  </si>
  <si>
    <t xml:space="preserve">1.71</t>
  </si>
  <si>
    <t xml:space="preserve">1.75</t>
  </si>
  <si>
    <t xml:space="preserve">1.82</t>
  </si>
  <si>
    <t xml:space="preserve">1.99</t>
  </si>
  <si>
    <t xml:space="preserve">2.12</t>
  </si>
  <si>
    <t xml:space="preserve">2.19</t>
  </si>
  <si>
    <t xml:space="preserve">IBIT</t>
  </si>
  <si>
    <t xml:space="preserve">Crypto</t>
  </si>
  <si>
    <t xml:space="preserve">^IXIC</t>
  </si>
  <si>
    <t xml:space="preserve">2.22</t>
  </si>
  <si>
    <t xml:space="preserve">2.27</t>
  </si>
</sst>
</file>

<file path=xl/styles.xml><?xml version="1.0" encoding="utf-8"?>
<styleSheet xmlns="http://schemas.openxmlformats.org/spreadsheetml/2006/main">
  <numFmts count="13">
    <numFmt numFmtId="164" formatCode="General"/>
    <numFmt numFmtId="165" formatCode="_ * #,##0.00_ ;_ * \-#,##0.00_ ;_ * \-??_ ;_ @_ "/>
    <numFmt numFmtId="166" formatCode="dd\-mmm"/>
    <numFmt numFmtId="167" formatCode="_-* #,##0.00\ _€_-;\-* #,##0.00\ _€_-;_-* \-??\ _€_-;_-@_-"/>
    <numFmt numFmtId="168" formatCode="_-* #,##0\ _€_-;\-* #,##0\ _€_-;_-* \-??\ _€_-;_-@_-"/>
    <numFmt numFmtId="169" formatCode="0\ %"/>
    <numFmt numFmtId="170" formatCode="0.00\ %"/>
    <numFmt numFmtId="171" formatCode="_-&quot;$ &quot;* #,##0.00_-;&quot;-$ &quot;* #,##0.00_-;_-&quot;$ &quot;* \-??_-;_-@_-"/>
    <numFmt numFmtId="172" formatCode="#,##0"/>
    <numFmt numFmtId="173" formatCode="#,##0.00"/>
    <numFmt numFmtId="174" formatCode="[$$-2C0A]#,##0.00;[RED]\([$$-2C0A]#,##0.00\)"/>
    <numFmt numFmtId="175" formatCode="dd/mm/yyyy"/>
    <numFmt numFmtId="176" formatCode="_-* #,##0.00_-;\-* #,##0.00_-;_-* \-??_-;_-@_-"/>
  </numFmts>
  <fonts count="15">
    <font>
      <sz val="11"/>
      <color rgb="FF000000"/>
      <name val="Calibri"/>
      <family val="2"/>
      <charset val="1"/>
    </font>
    <font>
      <sz val="10"/>
      <name val="Arial"/>
      <family val="0"/>
    </font>
    <font>
      <sz val="10"/>
      <name val="Arial"/>
      <family val="0"/>
    </font>
    <font>
      <sz val="10"/>
      <name val="Arial"/>
      <family val="0"/>
    </font>
    <font>
      <sz val="10"/>
      <name val="Arial"/>
      <family val="2"/>
      <charset val="1"/>
    </font>
    <font>
      <b val="true"/>
      <sz val="11"/>
      <name val="Calibri"/>
      <family val="2"/>
      <charset val="1"/>
    </font>
    <font>
      <sz val="12"/>
      <color rgb="FF000000"/>
      <name val="Arial"/>
      <family val="2"/>
      <charset val="1"/>
    </font>
    <font>
      <b val="true"/>
      <sz val="12"/>
      <color rgb="FF000000"/>
      <name val="Calibri"/>
      <family val="2"/>
      <charset val="1"/>
    </font>
    <font>
      <b val="true"/>
      <sz val="12"/>
      <color rgb="FF000000"/>
      <name val="Arial"/>
      <family val="2"/>
      <charset val="1"/>
    </font>
    <font>
      <sz val="12"/>
      <name val="Calibri"/>
      <family val="2"/>
      <charset val="1"/>
    </font>
    <font>
      <b val="true"/>
      <sz val="11"/>
      <color rgb="FF000000"/>
      <name val="Calibri"/>
      <family val="2"/>
      <charset val="1"/>
    </font>
    <font>
      <sz val="11"/>
      <color rgb="FFC9211E"/>
      <name val="Calibri"/>
      <family val="2"/>
      <charset val="1"/>
    </font>
    <font>
      <sz val="11"/>
      <name val="Calibri"/>
      <family val="2"/>
      <charset val="1"/>
    </font>
    <font>
      <b val="true"/>
      <sz val="12"/>
      <name val="Calibri"/>
      <family val="2"/>
      <charset val="1"/>
    </font>
    <font>
      <b val="true"/>
      <sz val="11"/>
      <color rgb="FF000000"/>
      <name val="Arial"/>
      <family val="2"/>
      <charset val="1"/>
    </font>
  </fonts>
  <fills count="6">
    <fill>
      <patternFill patternType="none"/>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diagonalUp="false" diagonalDown="false">
      <left/>
      <right/>
      <top/>
      <bottom/>
      <diagonal/>
    </border>
    <border diagonalUp="false" diagonalDown="false">
      <left style="thin"/>
      <right style="thin"/>
      <top style="thin"/>
      <bottom style="thin"/>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71"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49">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true" applyAlignment="true" applyProtection="true">
      <alignment horizontal="general" vertical="bottom" textRotation="0" wrapText="false" indent="0" shrinkToFit="false"/>
      <protection locked="true" hidden="false"/>
    </xf>
    <xf numFmtId="166" fontId="6" fillId="0" borderId="0" xfId="0"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true">
      <alignment horizontal="general" vertical="bottom" textRotation="0" wrapText="false" indent="0" shrinkToFit="false"/>
      <protection locked="true" hidden="false"/>
    </xf>
    <xf numFmtId="168" fontId="0" fillId="0" borderId="0" xfId="15"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center"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70" fontId="0" fillId="0" borderId="0" xfId="19" applyFont="true" applyBorder="true" applyAlignment="true" applyProtection="true">
      <alignment horizontal="general" vertical="bottom" textRotation="0" wrapText="false" indent="0" shrinkToFit="false"/>
      <protection locked="true" hidden="false"/>
    </xf>
    <xf numFmtId="164" fontId="6" fillId="2" borderId="0" xfId="0" applyFont="true" applyBorder="tru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general" vertical="bottom" textRotation="0" wrapText="false" indent="0" shrinkToFit="false"/>
      <protection locked="true" hidden="false"/>
    </xf>
    <xf numFmtId="171" fontId="0" fillId="0" borderId="0" xfId="17" applyFont="tru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72" fontId="11" fillId="0" borderId="0" xfId="0" applyFont="true" applyBorder="false" applyAlignment="tru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72" fontId="12" fillId="0" borderId="0" xfId="0" applyFont="true" applyBorder="false" applyAlignment="true" applyProtection="true">
      <alignment horizontal="general" vertical="bottom" textRotation="0" wrapText="false" indent="0" shrinkToFit="false"/>
      <protection locked="true" hidden="false"/>
    </xf>
    <xf numFmtId="172" fontId="12" fillId="3" borderId="0" xfId="0" applyFont="true" applyBorder="false" applyAlignment="true" applyProtection="true">
      <alignment horizontal="general" vertical="bottom" textRotation="0" wrapText="false" indent="0" shrinkToFit="false"/>
      <protection locked="true" hidden="false"/>
    </xf>
    <xf numFmtId="164" fontId="10" fillId="4" borderId="0" xfId="0" applyFont="true" applyBorder="false" applyAlignment="true" applyProtection="true">
      <alignment horizontal="general" vertical="bottom" textRotation="0" wrapText="false" indent="0" shrinkToFit="false"/>
      <protection locked="true" hidden="false"/>
    </xf>
    <xf numFmtId="172" fontId="10" fillId="4" borderId="0" xfId="0" applyFont="true" applyBorder="false" applyAlignment="true" applyProtection="true">
      <alignment horizontal="general" vertical="bottom" textRotation="0" wrapText="false" indent="0" shrinkToFit="false"/>
      <protection locked="true" hidden="false"/>
    </xf>
    <xf numFmtId="173" fontId="0" fillId="0" borderId="0" xfId="0" applyFont="false" applyBorder="false" applyAlignment="true" applyProtection="true">
      <alignment horizontal="general" vertical="bottom" textRotation="0" wrapText="false" indent="0" shrinkToFit="false"/>
      <protection locked="true" hidden="false"/>
    </xf>
    <xf numFmtId="164" fontId="0" fillId="5" borderId="0" xfId="0" applyFont="true" applyBorder="false" applyAlignment="true" applyProtection="true">
      <alignment horizontal="general" vertical="bottom" textRotation="0" wrapText="false" indent="0" shrinkToFit="false"/>
      <protection locked="true" hidden="false"/>
    </xf>
    <xf numFmtId="172" fontId="0" fillId="5" borderId="0" xfId="0" applyFont="false" applyBorder="false" applyAlignment="true" applyProtection="true">
      <alignment horizontal="general" vertical="bottom" textRotation="0" wrapText="false" indent="0" shrinkToFit="false"/>
      <protection locked="true" hidden="false"/>
    </xf>
    <xf numFmtId="173" fontId="0" fillId="5" borderId="0" xfId="0" applyFont="false" applyBorder="false" applyAlignment="true" applyProtection="true">
      <alignment horizontal="general" vertical="bottom" textRotation="0" wrapText="false" indent="0" shrinkToFit="false"/>
      <protection locked="true" hidden="false"/>
    </xf>
    <xf numFmtId="170" fontId="0" fillId="5" borderId="0" xfId="0" applyFont="false" applyBorder="false" applyAlignment="true" applyProtection="true">
      <alignment horizontal="general" vertical="bottom" textRotation="0" wrapText="false" indent="0" shrinkToFit="false"/>
      <protection locked="true" hidden="false"/>
    </xf>
    <xf numFmtId="164" fontId="0" fillId="3"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4" fontId="10" fillId="0" borderId="0" xfId="0" applyFont="true" applyBorder="true" applyAlignment="true" applyProtection="true">
      <alignment horizontal="center"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3" borderId="0" xfId="0" applyFont="false" applyBorder="false" applyAlignment="true" applyProtection="true">
      <alignment horizontal="general" vertical="bottom" textRotation="0" wrapText="false" indent="0" shrinkToFit="false"/>
      <protection locked="true" hidden="false"/>
    </xf>
    <xf numFmtId="171" fontId="0" fillId="3" borderId="0" xfId="17" applyFont="true" applyBorder="true" applyAlignment="true" applyProtection="true">
      <alignment horizontal="general" vertical="bottom" textRotation="0" wrapText="false" indent="0" shrinkToFit="false"/>
      <protection locked="true" hidden="false"/>
    </xf>
    <xf numFmtId="171" fontId="10" fillId="0" borderId="0" xfId="17"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general" vertical="bottom" textRotation="0" wrapText="tru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0" fillId="3" borderId="0" xfId="0" applyFont="false" applyBorder="false" applyAlignment="true" applyProtection="true">
      <alignment horizontal="general" vertical="bottom" textRotation="0" wrapText="false" indent="0" shrinkToFit="false"/>
      <protection locked="true" hidden="false"/>
    </xf>
    <xf numFmtId="164" fontId="0" fillId="3" borderId="0" xfId="0" applyFont="true" applyBorder="false" applyAlignment="true" applyProtection="true">
      <alignment horizontal="general" vertical="bottom" textRotation="0" wrapText="true" indent="0" shrinkToFit="false"/>
      <protection locked="true" hidden="false"/>
    </xf>
    <xf numFmtId="167" fontId="0" fillId="0" borderId="0" xfId="15" applyFont="true" applyBorder="true" applyAlignment="true" applyProtection="true">
      <alignment horizontal="general" vertical="bottom" textRotation="0" wrapText="false" indent="0" shrinkToFit="false"/>
      <protection locked="true" hidden="false"/>
    </xf>
    <xf numFmtId="164" fontId="13" fillId="0" borderId="1" xfId="0" applyFont="true" applyBorder="true" applyAlignment="true" applyProtection="true">
      <alignment horizontal="general" vertical="bottom" textRotation="0" wrapText="false" indent="0" shrinkToFit="false"/>
      <protection locked="true" hidden="false"/>
    </xf>
    <xf numFmtId="164" fontId="13" fillId="0" borderId="1"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76" fontId="0" fillId="0" borderId="0" xfId="0" applyFont="false" applyBorder="false" applyAlignment="true" applyProtection="true">
      <alignment horizontal="general" vertical="bottom" textRotation="0" wrapText="false" indent="0" shrinkToFit="false"/>
      <protection locked="true" hidden="false"/>
    </xf>
    <xf numFmtId="164" fontId="10" fillId="0" borderId="1" xfId="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true" indent="0" shrinkToFit="false"/>
      <protection locked="true" hidden="false"/>
    </xf>
    <xf numFmtId="164" fontId="14" fillId="0" borderId="0" xfId="0" applyFont="true" applyBorder="true" applyAlignment="true" applyProtection="true">
      <alignment horizontal="left" vertical="bottom" textRotation="0" wrapText="false" indent="0" shrinkToFit="false"/>
      <protection locked="true" hidden="false"/>
    </xf>
  </cellXfs>
  <cellStyles count="15">
    <cellStyle name="Normal" xfId="0" builtinId="0"/>
    <cellStyle name="Comma" xfId="15" builtinId="3"/>
    <cellStyle name="Comma [0]" xfId="16" builtinId="6"/>
    <cellStyle name="Currency" xfId="17" builtinId="4"/>
    <cellStyle name="Currency [0]" xfId="18" builtinId="7"/>
    <cellStyle name="Percent" xfId="19" builtinId="5"/>
    <cellStyle name="Campo de la tabla dinámica" xfId="20"/>
    <cellStyle name="Categoría de la tabla dinámica" xfId="21"/>
    <cellStyle name="Esquina de la tabla dinámica" xfId="22"/>
    <cellStyle name="Millares 2" xfId="23"/>
    <cellStyle name="Normal 3 2" xfId="24"/>
    <cellStyle name="Normal 4" xfId="25"/>
    <cellStyle name="Resultado de la tabla dinámica" xfId="26"/>
    <cellStyle name="Título de la tabla dinámica" xfId="27"/>
    <cellStyle name="Valor de la tabla dinámica" xfId="28"/>
  </cellStyles>
  <dxfs count="2">
    <dxf>
      <fill>
        <patternFill patternType="solid">
          <bgColor rgb="FF000000"/>
        </patternFill>
      </fill>
    </dxf>
    <dxf>
      <fill>
        <patternFill patternType="solid">
          <fgColor rgb="FF0000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sharedStrings" Target="sharedStrings.xml"/><Relationship Id="rId12" Type="http://schemas.openxmlformats.org/officeDocument/2006/relationships/connections" Target="connections.xml"/><Relationship Id="rId13" Type="http://schemas.openxmlformats.org/officeDocument/2006/relationships/customXml" Target="../customXml/item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9</xdr:col>
      <xdr:colOff>1604160</xdr:colOff>
      <xdr:row>0</xdr:row>
      <xdr:rowOff>360</xdr:rowOff>
    </xdr:to>
    <xdr:sp>
      <xdr:nvSpPr>
        <xdr:cNvPr id="0" name="_x005F_x0000_t202" hidden="1"/>
        <xdr:cNvSpPr/>
      </xdr:nvSpPr>
      <xdr:spPr>
        <a:xfrm>
          <a:off x="0" y="0"/>
          <a:ext cx="14255280" cy="360"/>
        </a:xfrm>
        <a:prstGeom prst="rect">
          <a:avLst/>
        </a:prstGeom>
        <a:solidFill>
          <a:srgbClr val="ffffff"/>
        </a:solidFill>
        <a:ln w="9525">
          <a:solidFill>
            <a:srgbClr val="000000"/>
          </a:solidFill>
          <a:miter/>
        </a:ln>
      </xdr:spPr>
      <xdr:style>
        <a:lnRef idx="0"/>
        <a:fillRef idx="0"/>
        <a:effectRef idx="0"/>
        <a:fontRef idx="minor"/>
      </xdr:style>
    </xdr:sp>
    <xdr:clientData/>
  </xdr:twoCellAnchor>
  <xdr:twoCellAnchor editAs="absolute">
    <xdr:from>
      <xdr:col>0</xdr:col>
      <xdr:colOff>0</xdr:colOff>
      <xdr:row>0</xdr:row>
      <xdr:rowOff>0</xdr:rowOff>
    </xdr:from>
    <xdr:to>
      <xdr:col>9</xdr:col>
      <xdr:colOff>1604160</xdr:colOff>
      <xdr:row>0</xdr:row>
      <xdr:rowOff>360</xdr:rowOff>
    </xdr:to>
    <xdr:sp>
      <xdr:nvSpPr>
        <xdr:cNvPr id="1" name="_x005F_x0000_t202" hidden="1"/>
        <xdr:cNvSpPr/>
      </xdr:nvSpPr>
      <xdr:spPr>
        <a:xfrm>
          <a:off x="0" y="0"/>
          <a:ext cx="14255280" cy="360"/>
        </a:xfrm>
        <a:prstGeom prst="rect">
          <a:avLst/>
        </a:prstGeom>
        <a:solidFill>
          <a:srgbClr val="ffffff"/>
        </a:solidFill>
        <a:ln w="9525">
          <a:solidFill>
            <a:srgbClr val="000000"/>
          </a:solidFill>
          <a:miter/>
        </a:ln>
      </xdr:spPr>
      <xdr:style>
        <a:lnRef idx="0"/>
        <a:fillRef idx="0"/>
        <a:effectRef idx="0"/>
        <a:fontRef idx="minor"/>
      </xdr:style>
    </xdr:sp>
    <xdr:clientData/>
  </xdr:twoCellAnchor>
  <xdr:twoCellAnchor editAs="absolute">
    <xdr:from>
      <xdr:col>0</xdr:col>
      <xdr:colOff>0</xdr:colOff>
      <xdr:row>0</xdr:row>
      <xdr:rowOff>0</xdr:rowOff>
    </xdr:from>
    <xdr:to>
      <xdr:col>9</xdr:col>
      <xdr:colOff>1604160</xdr:colOff>
      <xdr:row>0</xdr:row>
      <xdr:rowOff>360</xdr:rowOff>
    </xdr:to>
    <xdr:sp>
      <xdr:nvSpPr>
        <xdr:cNvPr id="2" name="_x005F_x0000_t202" hidden="1"/>
        <xdr:cNvSpPr/>
      </xdr:nvSpPr>
      <xdr:spPr>
        <a:xfrm>
          <a:off x="0" y="0"/>
          <a:ext cx="14255280" cy="360"/>
        </a:xfrm>
        <a:prstGeom prst="rect">
          <a:avLst/>
        </a:prstGeom>
        <a:solidFill>
          <a:srgbClr val="ffffff"/>
        </a:solidFill>
        <a:ln w="9525">
          <a:solidFill>
            <a:srgbClr val="000000"/>
          </a:solidFill>
          <a:miter/>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7.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D16"/>
  <sheetViews>
    <sheetView showFormulas="false" showGridLines="false" showRowColHeaders="true" showZeros="true" rightToLeft="false" tabSelected="true" showOutlineSymbols="true" defaultGridColor="true" view="normal" topLeftCell="A1" colorId="64" zoomScale="75" zoomScaleNormal="75" zoomScalePageLayoutView="100" workbookViewId="0">
      <selection pane="topLeft" activeCell="C1" activeCellId="0" sqref="C1"/>
    </sheetView>
  </sheetViews>
  <sheetFormatPr defaultColWidth="25.71484375" defaultRowHeight="15" customHeight="true" zeroHeight="false" outlineLevelRow="0" outlineLevelCol="0"/>
  <cols>
    <col collapsed="false" customWidth="true" hidden="false" outlineLevel="0" max="1" min="1" style="1" width="23.57"/>
    <col collapsed="false" customWidth="true" hidden="false" outlineLevel="0" max="2" min="2" style="1" width="25.22"/>
    <col collapsed="false" customWidth="true" hidden="false" outlineLevel="0" max="3" min="3" style="1" width="23.42"/>
    <col collapsed="false" customWidth="true" hidden="false" outlineLevel="0" max="4" min="4" style="1" width="16.71"/>
    <col collapsed="false" customWidth="true" hidden="false" outlineLevel="0" max="5" min="5" style="1" width="13.71"/>
    <col collapsed="false" customWidth="true" hidden="false" outlineLevel="0" max="6" min="6" style="1" width="19.14"/>
    <col collapsed="false" customWidth="true" hidden="false" outlineLevel="0" max="8" min="7" style="1" width="16"/>
    <col collapsed="false" customWidth="false" hidden="false" outlineLevel="0" max="11" min="9" style="1" width="25.71"/>
    <col collapsed="false" customWidth="true" hidden="false" outlineLevel="0" max="12" min="12" style="1" width="26.42"/>
    <col collapsed="false" customWidth="true" hidden="false" outlineLevel="0" max="13" min="13" style="1" width="42.29"/>
    <col collapsed="false" customWidth="false" hidden="false" outlineLevel="0" max="16379" min="18" style="1" width="25.71"/>
    <col collapsed="false" customWidth="true" hidden="false" outlineLevel="0" max="16380" min="16380" style="0" width="11.53"/>
    <col collapsed="false" customWidth="true" hidden="false" outlineLevel="0" max="16384" min="16381" style="1" width="11.53"/>
  </cols>
  <sheetData>
    <row r="1" customFormat="false" ht="15" hidden="false" customHeight="false" outlineLevel="0" collapsed="false">
      <c r="A1" s="2" t="s">
        <v>0</v>
      </c>
      <c r="B1" s="3" t="s">
        <v>1</v>
      </c>
      <c r="D1" s="4"/>
    </row>
    <row r="2" customFormat="false" ht="15" hidden="false" customHeight="false" outlineLevel="0" collapsed="false">
      <c r="A2" s="5" t="s">
        <v>2</v>
      </c>
      <c r="B2" s="6" t="n">
        <f aca="false">1523+203+206</f>
        <v>1932</v>
      </c>
    </row>
    <row r="3" customFormat="false" ht="15" hidden="false" customHeight="false" outlineLevel="0" collapsed="false">
      <c r="A3" s="5" t="s">
        <v>3</v>
      </c>
      <c r="B3" s="6" t="n">
        <f aca="false">2827+687</f>
        <v>3514</v>
      </c>
    </row>
    <row r="4" customFormat="false" ht="15" hidden="false" customHeight="false" outlineLevel="0" collapsed="false">
      <c r="A4" s="5" t="s">
        <v>4</v>
      </c>
      <c r="B4" s="6" t="n">
        <v>175</v>
      </c>
    </row>
    <row r="5" customFormat="false" ht="15" hidden="false" customHeight="false" outlineLevel="0" collapsed="false">
      <c r="A5" s="5" t="s">
        <v>5</v>
      </c>
      <c r="B5" s="6" t="n">
        <v>465</v>
      </c>
    </row>
    <row r="6" customFormat="false" ht="15" hidden="false" customHeight="false" outlineLevel="0" collapsed="false">
      <c r="A6" s="5" t="s">
        <v>6</v>
      </c>
      <c r="B6" s="6" t="n">
        <f aca="false">367-180</f>
        <v>187</v>
      </c>
    </row>
    <row r="7" customFormat="false" ht="15" hidden="false" customHeight="false" outlineLevel="0" collapsed="false">
      <c r="A7" s="5" t="s">
        <v>7</v>
      </c>
      <c r="B7" s="6" t="n">
        <v>135</v>
      </c>
    </row>
    <row r="8" customFormat="false" ht="15" hidden="false" customHeight="false" outlineLevel="0" collapsed="false">
      <c r="A8" s="5" t="s">
        <v>8</v>
      </c>
      <c r="B8" s="6" t="n">
        <v>150</v>
      </c>
    </row>
    <row r="9" customFormat="false" ht="15" hidden="false" customHeight="false" outlineLevel="0" collapsed="false">
      <c r="A9" s="5" t="s">
        <v>9</v>
      </c>
      <c r="B9" s="6" t="n">
        <v>11</v>
      </c>
    </row>
    <row r="10" customFormat="false" ht="15" hidden="false" customHeight="false" outlineLevel="0" collapsed="false">
      <c r="A10" s="5" t="s">
        <v>10</v>
      </c>
      <c r="B10" s="6" t="n">
        <v>85</v>
      </c>
    </row>
    <row r="11" customFormat="false" ht="15" hidden="false" customHeight="false" outlineLevel="0" collapsed="false">
      <c r="A11" s="5" t="s">
        <v>11</v>
      </c>
      <c r="B11" s="6" t="n">
        <f aca="false">596-298</f>
        <v>298</v>
      </c>
    </row>
    <row r="12" customFormat="false" ht="15" hidden="false" customHeight="false" outlineLevel="0" collapsed="false">
      <c r="A12" s="5" t="s">
        <v>12</v>
      </c>
      <c r="B12" s="6" t="n">
        <v>188</v>
      </c>
    </row>
    <row r="13" customFormat="false" ht="15" hidden="false" customHeight="false" outlineLevel="0" collapsed="false">
      <c r="A13" s="5" t="s">
        <v>13</v>
      </c>
      <c r="B13" s="6" t="n">
        <v>59</v>
      </c>
    </row>
    <row r="14" customFormat="false" ht="15" hidden="false" customHeight="false" outlineLevel="0" collapsed="false">
      <c r="A14" s="5" t="s">
        <v>14</v>
      </c>
      <c r="B14" s="6" t="n">
        <v>26</v>
      </c>
    </row>
    <row r="15" customFormat="false" ht="15" hidden="false" customHeight="false" outlineLevel="0" collapsed="false">
      <c r="A15" s="5" t="s">
        <v>15</v>
      </c>
      <c r="B15" s="6" t="n">
        <v>100</v>
      </c>
    </row>
    <row r="16" customFormat="false" ht="15" hidden="false" customHeight="false" outlineLevel="0" collapsed="false">
      <c r="A16" s="5" t="s">
        <v>16</v>
      </c>
      <c r="B16" s="6" t="n">
        <v>116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28"/>
  <sheetViews>
    <sheetView showFormulas="false" showGridLines="true" showRowColHeaders="true" showZeros="true" rightToLeft="false" tabSelected="false" showOutlineSymbols="true" defaultGridColor="true" view="normal" topLeftCell="A14" colorId="64" zoomScale="75" zoomScaleNormal="75" zoomScalePageLayoutView="100" workbookViewId="0">
      <selection pane="topLeft" activeCell="B25" activeCellId="0" sqref="B25"/>
    </sheetView>
  </sheetViews>
  <sheetFormatPr defaultColWidth="10.6796875" defaultRowHeight="15" customHeight="true" zeroHeight="false" outlineLevelRow="0" outlineLevelCol="0"/>
  <cols>
    <col collapsed="false" customWidth="true" hidden="false" outlineLevel="0" max="1" min="1" style="7" width="4"/>
    <col collapsed="false" customWidth="true" hidden="false" outlineLevel="0" max="2" min="2" style="7" width="7.29"/>
    <col collapsed="false" customWidth="true" hidden="false" outlineLevel="0" max="3" min="3" style="7" width="9.57"/>
  </cols>
  <sheetData>
    <row r="1" customFormat="false" ht="15" hidden="false" customHeight="false" outlineLevel="0" collapsed="false">
      <c r="B1" s="7" t="s">
        <v>17</v>
      </c>
      <c r="C1" s="7" t="s">
        <v>18</v>
      </c>
    </row>
    <row r="2" customFormat="false" ht="15" hidden="false" customHeight="false" outlineLevel="0" collapsed="false">
      <c r="A2" s="7" t="n">
        <v>0</v>
      </c>
      <c r="B2" s="7" t="s">
        <v>6</v>
      </c>
      <c r="C2" s="7" t="s">
        <v>19</v>
      </c>
    </row>
    <row r="3" customFormat="false" ht="15" hidden="false" customHeight="false" outlineLevel="0" collapsed="false">
      <c r="A3" s="7" t="n">
        <v>1</v>
      </c>
      <c r="B3" s="7" t="s">
        <v>20</v>
      </c>
      <c r="C3" s="7" t="s">
        <v>21</v>
      </c>
    </row>
    <row r="4" customFormat="false" ht="15" hidden="false" customHeight="false" outlineLevel="0" collapsed="false">
      <c r="A4" s="7" t="n">
        <v>2</v>
      </c>
      <c r="B4" s="7" t="s">
        <v>22</v>
      </c>
      <c r="C4" s="7" t="s">
        <v>23</v>
      </c>
    </row>
    <row r="5" customFormat="false" ht="15" hidden="false" customHeight="false" outlineLevel="0" collapsed="false">
      <c r="A5" s="7" t="n">
        <v>3</v>
      </c>
      <c r="B5" s="7" t="s">
        <v>24</v>
      </c>
      <c r="C5" s="7" t="s">
        <v>25</v>
      </c>
    </row>
    <row r="6" customFormat="false" ht="15" hidden="false" customHeight="false" outlineLevel="0" collapsed="false">
      <c r="A6" s="7" t="n">
        <v>4</v>
      </c>
      <c r="B6" s="7" t="s">
        <v>26</v>
      </c>
      <c r="C6" s="7" t="s">
        <v>27</v>
      </c>
    </row>
    <row r="7" customFormat="false" ht="15" hidden="false" customHeight="false" outlineLevel="0" collapsed="false">
      <c r="A7" s="7" t="n">
        <v>5</v>
      </c>
      <c r="B7" s="7" t="s">
        <v>28</v>
      </c>
      <c r="C7" s="7" t="s">
        <v>29</v>
      </c>
    </row>
    <row r="8" customFormat="false" ht="15" hidden="false" customHeight="false" outlineLevel="0" collapsed="false">
      <c r="A8" s="7" t="n">
        <v>6</v>
      </c>
      <c r="B8" s="7" t="s">
        <v>30</v>
      </c>
      <c r="C8" s="7" t="s">
        <v>31</v>
      </c>
    </row>
    <row r="9" customFormat="false" ht="15" hidden="false" customHeight="false" outlineLevel="0" collapsed="false">
      <c r="A9" s="7" t="n">
        <v>7</v>
      </c>
      <c r="B9" s="7" t="s">
        <v>32</v>
      </c>
      <c r="C9" s="7" t="s">
        <v>33</v>
      </c>
    </row>
    <row r="10" customFormat="false" ht="15" hidden="false" customHeight="false" outlineLevel="0" collapsed="false">
      <c r="A10" s="7" t="n">
        <v>8</v>
      </c>
      <c r="B10" s="7" t="s">
        <v>34</v>
      </c>
      <c r="C10" s="7" t="s">
        <v>35</v>
      </c>
    </row>
    <row r="11" customFormat="false" ht="15" hidden="false" customHeight="false" outlineLevel="0" collapsed="false">
      <c r="A11" s="7" t="n">
        <v>9</v>
      </c>
      <c r="B11" s="7" t="s">
        <v>36</v>
      </c>
      <c r="C11" s="7" t="s">
        <v>37</v>
      </c>
    </row>
    <row r="12" customFormat="false" ht="15" hidden="false" customHeight="false" outlineLevel="0" collapsed="false">
      <c r="A12" s="7" t="n">
        <v>10</v>
      </c>
      <c r="B12" s="7" t="s">
        <v>3</v>
      </c>
      <c r="C12" s="7" t="s">
        <v>38</v>
      </c>
    </row>
    <row r="13" customFormat="false" ht="15" hidden="false" customHeight="false" outlineLevel="0" collapsed="false">
      <c r="A13" s="7" t="n">
        <v>11</v>
      </c>
      <c r="B13" s="7" t="s">
        <v>39</v>
      </c>
      <c r="C13" s="7" t="s">
        <v>40</v>
      </c>
    </row>
    <row r="14" customFormat="false" ht="15" hidden="false" customHeight="false" outlineLevel="0" collapsed="false">
      <c r="A14" s="7" t="n">
        <v>12</v>
      </c>
      <c r="B14" s="7" t="s">
        <v>41</v>
      </c>
      <c r="C14" s="7" t="s">
        <v>42</v>
      </c>
    </row>
    <row r="15" customFormat="false" ht="15" hidden="false" customHeight="false" outlineLevel="0" collapsed="false">
      <c r="A15" s="7" t="n">
        <v>13</v>
      </c>
      <c r="B15" s="7" t="s">
        <v>15</v>
      </c>
      <c r="C15" s="7" t="s">
        <v>43</v>
      </c>
    </row>
    <row r="16" customFormat="false" ht="15" hidden="false" customHeight="false" outlineLevel="0" collapsed="false">
      <c r="A16" s="7" t="n">
        <v>14</v>
      </c>
      <c r="B16" s="7" t="s">
        <v>44</v>
      </c>
      <c r="C16" s="7" t="s">
        <v>45</v>
      </c>
    </row>
    <row r="17" customFormat="false" ht="15" hidden="false" customHeight="false" outlineLevel="0" collapsed="false">
      <c r="A17" s="7" t="n">
        <v>15</v>
      </c>
      <c r="B17" s="7" t="s">
        <v>16</v>
      </c>
      <c r="C17" s="7" t="s">
        <v>46</v>
      </c>
    </row>
    <row r="18" customFormat="false" ht="15" hidden="false" customHeight="false" outlineLevel="0" collapsed="false">
      <c r="A18" s="7" t="n">
        <v>16</v>
      </c>
      <c r="B18" s="7" t="s">
        <v>7</v>
      </c>
      <c r="C18" s="7" t="s">
        <v>47</v>
      </c>
    </row>
    <row r="19" customFormat="false" ht="15" hidden="false" customHeight="false" outlineLevel="0" collapsed="false">
      <c r="A19" s="7" t="n">
        <v>17</v>
      </c>
      <c r="B19" s="7" t="s">
        <v>48</v>
      </c>
      <c r="C19" s="7" t="s">
        <v>49</v>
      </c>
    </row>
    <row r="20" customFormat="false" ht="15" hidden="false" customHeight="false" outlineLevel="0" collapsed="false">
      <c r="A20" s="7" t="n">
        <v>18</v>
      </c>
      <c r="B20" s="7" t="s">
        <v>50</v>
      </c>
      <c r="C20" s="7" t="s">
        <v>51</v>
      </c>
    </row>
    <row r="21" customFormat="false" ht="15" hidden="false" customHeight="false" outlineLevel="0" collapsed="false">
      <c r="A21" s="7" t="n">
        <v>19</v>
      </c>
      <c r="B21" s="7" t="s">
        <v>52</v>
      </c>
      <c r="C21" s="7" t="s">
        <v>53</v>
      </c>
    </row>
    <row r="22" customFormat="false" ht="15" hidden="false" customHeight="false" outlineLevel="0" collapsed="false">
      <c r="A22" s="7" t="n">
        <v>20</v>
      </c>
      <c r="B22" s="7" t="s">
        <v>54</v>
      </c>
      <c r="C22" s="7" t="s">
        <v>55</v>
      </c>
    </row>
    <row r="23" customFormat="false" ht="15" hidden="false" customHeight="false" outlineLevel="0" collapsed="false">
      <c r="A23" s="7" t="n">
        <v>21</v>
      </c>
      <c r="B23" s="7" t="s">
        <v>56</v>
      </c>
      <c r="C23" s="7" t="s">
        <v>57</v>
      </c>
    </row>
    <row r="24" customFormat="false" ht="15" hidden="false" customHeight="false" outlineLevel="0" collapsed="false">
      <c r="A24" s="7" t="n">
        <v>22</v>
      </c>
      <c r="B24" s="7" t="s">
        <v>58</v>
      </c>
      <c r="C24" s="7" t="s">
        <v>59</v>
      </c>
    </row>
    <row r="25" customFormat="false" ht="15" hidden="false" customHeight="false" outlineLevel="0" collapsed="false">
      <c r="A25" s="7" t="n">
        <v>23</v>
      </c>
      <c r="B25" s="7" t="s">
        <v>60</v>
      </c>
      <c r="C25" s="7" t="s">
        <v>61</v>
      </c>
    </row>
    <row r="26" customFormat="false" ht="15" hidden="false" customHeight="false" outlineLevel="0" collapsed="false">
      <c r="A26" s="7" t="n">
        <v>24</v>
      </c>
      <c r="B26" s="7" t="s">
        <v>62</v>
      </c>
      <c r="C26" s="7" t="s">
        <v>63</v>
      </c>
    </row>
    <row r="27" customFormat="false" ht="15" hidden="false" customHeight="false" outlineLevel="0" collapsed="false">
      <c r="A27" s="7" t="n">
        <v>25</v>
      </c>
      <c r="B27" s="7" t="s">
        <v>64</v>
      </c>
      <c r="C27" s="7" t="s">
        <v>65</v>
      </c>
    </row>
    <row r="28" customFormat="false" ht="15" hidden="false" customHeight="false" outlineLevel="0" collapsed="false">
      <c r="A28" s="7" t="n">
        <v>26</v>
      </c>
      <c r="B28" s="7" t="s">
        <v>66</v>
      </c>
      <c r="C28" s="7" t="s">
        <v>67</v>
      </c>
    </row>
    <row r="29" customFormat="false" ht="15" hidden="false" customHeight="false" outlineLevel="0" collapsed="false">
      <c r="A29" s="7" t="n">
        <v>27</v>
      </c>
      <c r="B29" s="7" t="s">
        <v>11</v>
      </c>
      <c r="C29" s="7" t="s">
        <v>68</v>
      </c>
    </row>
    <row r="30" customFormat="false" ht="15" hidden="false" customHeight="false" outlineLevel="0" collapsed="false">
      <c r="A30" s="7" t="n">
        <v>28</v>
      </c>
      <c r="B30" s="7" t="s">
        <v>69</v>
      </c>
      <c r="C30" s="7" t="s">
        <v>70</v>
      </c>
    </row>
    <row r="31" customFormat="false" ht="15" hidden="false" customHeight="false" outlineLevel="0" collapsed="false">
      <c r="A31" s="7" t="n">
        <v>29</v>
      </c>
      <c r="B31" s="7" t="s">
        <v>71</v>
      </c>
      <c r="C31" s="7" t="s">
        <v>72</v>
      </c>
    </row>
    <row r="32" customFormat="false" ht="15" hidden="false" customHeight="false" outlineLevel="0" collapsed="false">
      <c r="A32" s="7" t="n">
        <v>30</v>
      </c>
      <c r="B32" s="7" t="s">
        <v>73</v>
      </c>
      <c r="C32" s="7" t="s">
        <v>74</v>
      </c>
    </row>
    <row r="33" customFormat="false" ht="15" hidden="false" customHeight="false" outlineLevel="0" collapsed="false">
      <c r="A33" s="7" t="n">
        <v>31</v>
      </c>
      <c r="B33" s="7" t="s">
        <v>75</v>
      </c>
      <c r="C33" s="7" t="s">
        <v>76</v>
      </c>
    </row>
    <row r="34" customFormat="false" ht="15" hidden="false" customHeight="false" outlineLevel="0" collapsed="false">
      <c r="A34" s="7" t="n">
        <v>32</v>
      </c>
      <c r="B34" s="7" t="s">
        <v>77</v>
      </c>
      <c r="C34" s="7" t="s">
        <v>78</v>
      </c>
    </row>
    <row r="35" customFormat="false" ht="15" hidden="false" customHeight="false" outlineLevel="0" collapsed="false">
      <c r="A35" s="7" t="n">
        <v>33</v>
      </c>
      <c r="B35" s="7" t="s">
        <v>79</v>
      </c>
      <c r="C35" s="7" t="s">
        <v>80</v>
      </c>
    </row>
    <row r="36" customFormat="false" ht="15" hidden="false" customHeight="false" outlineLevel="0" collapsed="false">
      <c r="A36" s="7" t="n">
        <v>34</v>
      </c>
      <c r="B36" s="7" t="s">
        <v>81</v>
      </c>
      <c r="C36" s="7" t="s">
        <v>82</v>
      </c>
    </row>
    <row r="37" customFormat="false" ht="15" hidden="false" customHeight="false" outlineLevel="0" collapsed="false">
      <c r="A37" s="7" t="n">
        <v>35</v>
      </c>
      <c r="B37" s="7" t="s">
        <v>83</v>
      </c>
      <c r="C37" s="7" t="s">
        <v>84</v>
      </c>
    </row>
    <row r="38" customFormat="false" ht="15" hidden="false" customHeight="false" outlineLevel="0" collapsed="false">
      <c r="A38" s="7" t="n">
        <v>36</v>
      </c>
      <c r="B38" s="7" t="s">
        <v>85</v>
      </c>
      <c r="C38" s="7" t="s">
        <v>86</v>
      </c>
    </row>
    <row r="39" customFormat="false" ht="15" hidden="false" customHeight="false" outlineLevel="0" collapsed="false">
      <c r="A39" s="7" t="n">
        <v>37</v>
      </c>
      <c r="B39" s="7" t="s">
        <v>87</v>
      </c>
      <c r="C39" s="7" t="s">
        <v>88</v>
      </c>
    </row>
    <row r="40" customFormat="false" ht="15" hidden="false" customHeight="false" outlineLevel="0" collapsed="false">
      <c r="A40" s="7" t="n">
        <v>38</v>
      </c>
      <c r="B40" s="7" t="s">
        <v>89</v>
      </c>
      <c r="C40" s="7" t="s">
        <v>90</v>
      </c>
    </row>
    <row r="41" customFormat="false" ht="15" hidden="false" customHeight="false" outlineLevel="0" collapsed="false">
      <c r="A41" s="7" t="n">
        <v>39</v>
      </c>
      <c r="B41" s="7" t="s">
        <v>91</v>
      </c>
      <c r="C41" s="7" t="s">
        <v>92</v>
      </c>
    </row>
    <row r="42" customFormat="false" ht="15" hidden="false" customHeight="false" outlineLevel="0" collapsed="false">
      <c r="A42" s="7" t="n">
        <v>40</v>
      </c>
      <c r="B42" s="7" t="s">
        <v>93</v>
      </c>
      <c r="C42" s="7" t="s">
        <v>94</v>
      </c>
    </row>
    <row r="43" customFormat="false" ht="15" hidden="false" customHeight="false" outlineLevel="0" collapsed="false">
      <c r="A43" s="7" t="n">
        <v>41</v>
      </c>
      <c r="B43" s="7" t="s">
        <v>95</v>
      </c>
      <c r="C43" s="7" t="s">
        <v>96</v>
      </c>
    </row>
    <row r="44" customFormat="false" ht="15" hidden="false" customHeight="false" outlineLevel="0" collapsed="false">
      <c r="A44" s="7" t="n">
        <v>42</v>
      </c>
      <c r="B44" s="7" t="s">
        <v>97</v>
      </c>
      <c r="C44" s="7" t="s">
        <v>98</v>
      </c>
    </row>
    <row r="45" customFormat="false" ht="15" hidden="false" customHeight="false" outlineLevel="0" collapsed="false">
      <c r="A45" s="7" t="n">
        <v>43</v>
      </c>
      <c r="B45" s="7" t="s">
        <v>99</v>
      </c>
      <c r="C45" s="7" t="s">
        <v>100</v>
      </c>
    </row>
    <row r="46" customFormat="false" ht="15" hidden="false" customHeight="false" outlineLevel="0" collapsed="false">
      <c r="A46" s="7" t="n">
        <v>44</v>
      </c>
      <c r="B46" s="7" t="s">
        <v>101</v>
      </c>
      <c r="C46" s="7" t="s">
        <v>102</v>
      </c>
    </row>
    <row r="47" customFormat="false" ht="15" hidden="false" customHeight="false" outlineLevel="0" collapsed="false">
      <c r="A47" s="7" t="n">
        <v>45</v>
      </c>
      <c r="B47" s="7" t="s">
        <v>2</v>
      </c>
      <c r="C47" s="7" t="s">
        <v>103</v>
      </c>
    </row>
    <row r="48" customFormat="false" ht="15" hidden="false" customHeight="false" outlineLevel="0" collapsed="false">
      <c r="A48" s="7" t="n">
        <v>46</v>
      </c>
      <c r="B48" s="7" t="s">
        <v>104</v>
      </c>
      <c r="C48" s="7" t="s">
        <v>105</v>
      </c>
    </row>
    <row r="49" customFormat="false" ht="15" hidden="false" customHeight="false" outlineLevel="0" collapsed="false">
      <c r="A49" s="7" t="n">
        <v>47</v>
      </c>
      <c r="B49" s="7" t="s">
        <v>106</v>
      </c>
      <c r="C49" s="7" t="s">
        <v>107</v>
      </c>
    </row>
    <row r="50" customFormat="false" ht="15" hidden="false" customHeight="false" outlineLevel="0" collapsed="false">
      <c r="A50" s="7" t="n">
        <v>48</v>
      </c>
      <c r="B50" s="7" t="s">
        <v>108</v>
      </c>
      <c r="C50" s="7" t="s">
        <v>109</v>
      </c>
    </row>
    <row r="51" customFormat="false" ht="15" hidden="false" customHeight="false" outlineLevel="0" collapsed="false">
      <c r="A51" s="7" t="n">
        <v>49</v>
      </c>
      <c r="B51" s="7" t="s">
        <v>110</v>
      </c>
      <c r="C51" s="7" t="s">
        <v>111</v>
      </c>
    </row>
    <row r="52" customFormat="false" ht="15" hidden="false" customHeight="false" outlineLevel="0" collapsed="false">
      <c r="A52" s="7" t="n">
        <v>50</v>
      </c>
      <c r="B52" s="7" t="s">
        <v>112</v>
      </c>
      <c r="C52" s="7" t="s">
        <v>113</v>
      </c>
    </row>
    <row r="53" customFormat="false" ht="15" hidden="false" customHeight="false" outlineLevel="0" collapsed="false">
      <c r="A53" s="7" t="n">
        <v>51</v>
      </c>
      <c r="B53" s="7" t="s">
        <v>114</v>
      </c>
      <c r="C53" s="7" t="s">
        <v>115</v>
      </c>
    </row>
    <row r="54" customFormat="false" ht="15" hidden="false" customHeight="false" outlineLevel="0" collapsed="false">
      <c r="A54" s="7" t="n">
        <v>52</v>
      </c>
      <c r="B54" s="7" t="s">
        <v>116</v>
      </c>
      <c r="C54" s="7" t="s">
        <v>117</v>
      </c>
    </row>
    <row r="55" customFormat="false" ht="15" hidden="false" customHeight="false" outlineLevel="0" collapsed="false">
      <c r="A55" s="7" t="n">
        <v>53</v>
      </c>
      <c r="B55" s="7" t="s">
        <v>118</v>
      </c>
      <c r="C55" s="7" t="s">
        <v>119</v>
      </c>
    </row>
    <row r="56" customFormat="false" ht="15" hidden="false" customHeight="false" outlineLevel="0" collapsed="false">
      <c r="A56" s="7" t="n">
        <v>54</v>
      </c>
      <c r="B56" s="7" t="s">
        <v>120</v>
      </c>
      <c r="C56" s="7" t="s">
        <v>121</v>
      </c>
    </row>
    <row r="57" customFormat="false" ht="15" hidden="false" customHeight="false" outlineLevel="0" collapsed="false">
      <c r="A57" s="7" t="n">
        <v>55</v>
      </c>
      <c r="B57" s="7" t="s">
        <v>122</v>
      </c>
      <c r="C57" s="7" t="s">
        <v>123</v>
      </c>
    </row>
    <row r="58" customFormat="false" ht="15" hidden="false" customHeight="false" outlineLevel="0" collapsed="false">
      <c r="A58" s="7" t="n">
        <v>56</v>
      </c>
      <c r="B58" s="7" t="s">
        <v>124</v>
      </c>
      <c r="C58" s="7" t="s">
        <v>125</v>
      </c>
    </row>
    <row r="59" customFormat="false" ht="15" hidden="false" customHeight="false" outlineLevel="0" collapsed="false">
      <c r="A59" s="7" t="n">
        <v>57</v>
      </c>
      <c r="B59" s="7" t="s">
        <v>126</v>
      </c>
      <c r="C59" s="7" t="s">
        <v>127</v>
      </c>
    </row>
    <row r="60" customFormat="false" ht="15" hidden="false" customHeight="false" outlineLevel="0" collapsed="false">
      <c r="A60" s="7" t="n">
        <v>58</v>
      </c>
      <c r="B60" s="7" t="s">
        <v>128</v>
      </c>
      <c r="C60" s="7" t="s">
        <v>129</v>
      </c>
    </row>
    <row r="61" customFormat="false" ht="15" hidden="false" customHeight="false" outlineLevel="0" collapsed="false">
      <c r="A61" s="7" t="n">
        <v>59</v>
      </c>
      <c r="B61" s="7" t="s">
        <v>130</v>
      </c>
      <c r="C61" s="7" t="s">
        <v>131</v>
      </c>
    </row>
    <row r="62" customFormat="false" ht="15" hidden="false" customHeight="false" outlineLevel="0" collapsed="false">
      <c r="A62" s="7" t="n">
        <v>60</v>
      </c>
      <c r="B62" s="7" t="s">
        <v>132</v>
      </c>
      <c r="C62" s="7" t="s">
        <v>133</v>
      </c>
    </row>
    <row r="63" customFormat="false" ht="15" hidden="false" customHeight="false" outlineLevel="0" collapsed="false">
      <c r="A63" s="7" t="n">
        <v>61</v>
      </c>
      <c r="B63" s="7" t="s">
        <v>8</v>
      </c>
      <c r="C63" s="7" t="s">
        <v>134</v>
      </c>
    </row>
    <row r="64" customFormat="false" ht="15" hidden="false" customHeight="false" outlineLevel="0" collapsed="false">
      <c r="A64" s="7" t="n">
        <v>62</v>
      </c>
      <c r="B64" s="7" t="s">
        <v>135</v>
      </c>
      <c r="C64" s="7" t="s">
        <v>136</v>
      </c>
    </row>
    <row r="65" customFormat="false" ht="15" hidden="false" customHeight="false" outlineLevel="0" collapsed="false">
      <c r="A65" s="7" t="n">
        <v>63</v>
      </c>
      <c r="B65" s="7" t="s">
        <v>137</v>
      </c>
      <c r="C65" s="7" t="s">
        <v>138</v>
      </c>
    </row>
    <row r="66" customFormat="false" ht="15" hidden="false" customHeight="false" outlineLevel="0" collapsed="false">
      <c r="A66" s="7" t="n">
        <v>64</v>
      </c>
      <c r="B66" s="7" t="s">
        <v>139</v>
      </c>
      <c r="C66" s="7" t="s">
        <v>140</v>
      </c>
    </row>
    <row r="67" customFormat="false" ht="15" hidden="false" customHeight="false" outlineLevel="0" collapsed="false">
      <c r="A67" s="7" t="n">
        <v>65</v>
      </c>
      <c r="B67" s="7" t="s">
        <v>141</v>
      </c>
      <c r="C67" s="7" t="s">
        <v>142</v>
      </c>
    </row>
    <row r="68" customFormat="false" ht="15" hidden="false" customHeight="false" outlineLevel="0" collapsed="false">
      <c r="A68" s="7" t="n">
        <v>66</v>
      </c>
      <c r="B68" s="7" t="s">
        <v>143</v>
      </c>
      <c r="C68" s="7" t="s">
        <v>144</v>
      </c>
    </row>
    <row r="69" customFormat="false" ht="15" hidden="false" customHeight="false" outlineLevel="0" collapsed="false">
      <c r="A69" s="7" t="n">
        <v>67</v>
      </c>
      <c r="B69" s="7" t="s">
        <v>145</v>
      </c>
      <c r="C69" s="7" t="s">
        <v>146</v>
      </c>
    </row>
    <row r="70" customFormat="false" ht="15" hidden="false" customHeight="false" outlineLevel="0" collapsed="false">
      <c r="A70" s="7" t="n">
        <v>68</v>
      </c>
      <c r="B70" s="7" t="s">
        <v>147</v>
      </c>
      <c r="C70" s="7" t="s">
        <v>148</v>
      </c>
    </row>
    <row r="71" customFormat="false" ht="15" hidden="false" customHeight="false" outlineLevel="0" collapsed="false">
      <c r="A71" s="7" t="n">
        <v>69</v>
      </c>
      <c r="B71" s="7" t="s">
        <v>9</v>
      </c>
      <c r="C71" s="7" t="s">
        <v>149</v>
      </c>
    </row>
    <row r="72" customFormat="false" ht="15" hidden="false" customHeight="false" outlineLevel="0" collapsed="false">
      <c r="A72" s="7" t="n">
        <v>70</v>
      </c>
      <c r="B72" s="7" t="s">
        <v>150</v>
      </c>
      <c r="C72" s="7" t="s">
        <v>151</v>
      </c>
    </row>
    <row r="73" customFormat="false" ht="15" hidden="false" customHeight="false" outlineLevel="0" collapsed="false">
      <c r="A73" s="7" t="n">
        <v>71</v>
      </c>
      <c r="B73" s="7" t="s">
        <v>152</v>
      </c>
      <c r="C73" s="7" t="s">
        <v>153</v>
      </c>
    </row>
    <row r="74" customFormat="false" ht="15" hidden="false" customHeight="false" outlineLevel="0" collapsed="false">
      <c r="A74" s="7" t="n">
        <v>72</v>
      </c>
      <c r="B74" s="7" t="s">
        <v>154</v>
      </c>
      <c r="C74" s="7" t="s">
        <v>155</v>
      </c>
    </row>
    <row r="75" customFormat="false" ht="15" hidden="false" customHeight="false" outlineLevel="0" collapsed="false">
      <c r="A75" s="7" t="n">
        <v>73</v>
      </c>
      <c r="B75" s="7" t="s">
        <v>156</v>
      </c>
      <c r="C75" s="7" t="s">
        <v>157</v>
      </c>
    </row>
    <row r="76" customFormat="false" ht="15" hidden="false" customHeight="false" outlineLevel="0" collapsed="false">
      <c r="A76" s="7" t="n">
        <v>74</v>
      </c>
      <c r="B76" s="7" t="s">
        <v>158</v>
      </c>
      <c r="C76" s="7" t="s">
        <v>159</v>
      </c>
    </row>
    <row r="77" customFormat="false" ht="15" hidden="false" customHeight="false" outlineLevel="0" collapsed="false">
      <c r="A77" s="7" t="n">
        <v>75</v>
      </c>
      <c r="B77" s="7" t="s">
        <v>160</v>
      </c>
      <c r="C77" s="7" t="s">
        <v>161</v>
      </c>
    </row>
    <row r="78" customFormat="false" ht="15" hidden="false" customHeight="false" outlineLevel="0" collapsed="false">
      <c r="A78" s="7" t="n">
        <v>76</v>
      </c>
      <c r="B78" s="7" t="s">
        <v>162</v>
      </c>
      <c r="C78" s="7" t="s">
        <v>163</v>
      </c>
    </row>
    <row r="79" customFormat="false" ht="15" hidden="false" customHeight="false" outlineLevel="0" collapsed="false">
      <c r="A79" s="7" t="n">
        <v>77</v>
      </c>
      <c r="B79" s="7" t="s">
        <v>164</v>
      </c>
      <c r="C79" s="7" t="s">
        <v>165</v>
      </c>
    </row>
    <row r="80" customFormat="false" ht="15" hidden="false" customHeight="false" outlineLevel="0" collapsed="false">
      <c r="A80" s="7" t="n">
        <v>78</v>
      </c>
      <c r="B80" s="7" t="s">
        <v>12</v>
      </c>
      <c r="C80" s="7" t="s">
        <v>166</v>
      </c>
    </row>
    <row r="81" customFormat="false" ht="15" hidden="false" customHeight="false" outlineLevel="0" collapsed="false">
      <c r="A81" s="7" t="n">
        <v>79</v>
      </c>
      <c r="B81" s="7" t="s">
        <v>5</v>
      </c>
      <c r="C81" s="7" t="s">
        <v>167</v>
      </c>
    </row>
    <row r="82" customFormat="false" ht="15" hidden="false" customHeight="false" outlineLevel="0" collapsed="false">
      <c r="A82" s="7" t="n">
        <v>80</v>
      </c>
      <c r="B82" s="7" t="s">
        <v>168</v>
      </c>
      <c r="C82" s="7" t="s">
        <v>169</v>
      </c>
    </row>
    <row r="83" customFormat="false" ht="15" hidden="false" customHeight="false" outlineLevel="0" collapsed="false">
      <c r="A83" s="7" t="n">
        <v>81</v>
      </c>
      <c r="B83" s="7" t="s">
        <v>170</v>
      </c>
      <c r="C83" s="7" t="s">
        <v>171</v>
      </c>
    </row>
    <row r="84" customFormat="false" ht="15" hidden="false" customHeight="false" outlineLevel="0" collapsed="false">
      <c r="A84" s="7" t="n">
        <v>82</v>
      </c>
      <c r="B84" s="7" t="s">
        <v>172</v>
      </c>
      <c r="C84" s="7" t="s">
        <v>173</v>
      </c>
    </row>
    <row r="85" customFormat="false" ht="15" hidden="false" customHeight="false" outlineLevel="0" collapsed="false">
      <c r="A85" s="7" t="n">
        <v>83</v>
      </c>
      <c r="B85" s="7" t="s">
        <v>174</v>
      </c>
      <c r="C85" s="7" t="s">
        <v>175</v>
      </c>
    </row>
    <row r="86" customFormat="false" ht="15" hidden="false" customHeight="false" outlineLevel="0" collapsed="false">
      <c r="A86" s="7" t="n">
        <v>84</v>
      </c>
      <c r="B86" s="7" t="s">
        <v>176</v>
      </c>
      <c r="C86" s="7" t="s">
        <v>177</v>
      </c>
    </row>
    <row r="87" customFormat="false" ht="15" hidden="false" customHeight="false" outlineLevel="0" collapsed="false">
      <c r="A87" s="7" t="n">
        <v>85</v>
      </c>
      <c r="B87" s="7" t="s">
        <v>178</v>
      </c>
      <c r="C87" s="7" t="s">
        <v>179</v>
      </c>
    </row>
    <row r="88" customFormat="false" ht="15" hidden="false" customHeight="false" outlineLevel="0" collapsed="false">
      <c r="A88" s="7" t="n">
        <v>86</v>
      </c>
      <c r="B88" s="7" t="s">
        <v>180</v>
      </c>
      <c r="C88" s="7" t="s">
        <v>181</v>
      </c>
    </row>
    <row r="89" customFormat="false" ht="15" hidden="false" customHeight="false" outlineLevel="0" collapsed="false">
      <c r="A89" s="7" t="n">
        <v>87</v>
      </c>
      <c r="B89" s="7" t="s">
        <v>182</v>
      </c>
      <c r="C89" s="7" t="s">
        <v>183</v>
      </c>
    </row>
    <row r="90" customFormat="false" ht="15" hidden="false" customHeight="false" outlineLevel="0" collapsed="false">
      <c r="A90" s="7" t="n">
        <v>88</v>
      </c>
      <c r="B90" s="7" t="s">
        <v>184</v>
      </c>
      <c r="C90" s="7" t="s">
        <v>185</v>
      </c>
    </row>
    <row r="91" customFormat="false" ht="15" hidden="false" customHeight="false" outlineLevel="0" collapsed="false">
      <c r="A91" s="7" t="n">
        <v>89</v>
      </c>
      <c r="B91" s="7" t="s">
        <v>186</v>
      </c>
      <c r="C91" s="7" t="s">
        <v>187</v>
      </c>
    </row>
    <row r="92" customFormat="false" ht="15" hidden="false" customHeight="false" outlineLevel="0" collapsed="false">
      <c r="A92" s="7" t="n">
        <v>90</v>
      </c>
      <c r="B92" s="7" t="s">
        <v>188</v>
      </c>
      <c r="C92" s="7" t="s">
        <v>189</v>
      </c>
    </row>
    <row r="93" customFormat="false" ht="15" hidden="false" customHeight="false" outlineLevel="0" collapsed="false">
      <c r="A93" s="7" t="n">
        <v>91</v>
      </c>
      <c r="B93" s="7" t="s">
        <v>190</v>
      </c>
      <c r="C93" s="7" t="s">
        <v>191</v>
      </c>
    </row>
    <row r="94" customFormat="false" ht="15" hidden="false" customHeight="false" outlineLevel="0" collapsed="false">
      <c r="A94" s="7" t="n">
        <v>92</v>
      </c>
      <c r="B94" s="7" t="s">
        <v>192</v>
      </c>
      <c r="C94" s="7" t="s">
        <v>193</v>
      </c>
    </row>
    <row r="95" customFormat="false" ht="15" hidden="false" customHeight="false" outlineLevel="0" collapsed="false">
      <c r="A95" s="7" t="n">
        <v>93</v>
      </c>
      <c r="B95" s="7" t="s">
        <v>194</v>
      </c>
      <c r="C95" s="7" t="s">
        <v>195</v>
      </c>
    </row>
    <row r="96" customFormat="false" ht="15" hidden="false" customHeight="false" outlineLevel="0" collapsed="false">
      <c r="A96" s="7" t="n">
        <v>94</v>
      </c>
      <c r="B96" s="7" t="s">
        <v>196</v>
      </c>
      <c r="C96" s="7" t="s">
        <v>197</v>
      </c>
    </row>
    <row r="97" customFormat="false" ht="15" hidden="false" customHeight="false" outlineLevel="0" collapsed="false">
      <c r="A97" s="7" t="n">
        <v>95</v>
      </c>
      <c r="B97" s="7" t="s">
        <v>198</v>
      </c>
      <c r="C97" s="7" t="s">
        <v>199</v>
      </c>
    </row>
    <row r="98" customFormat="false" ht="15" hidden="false" customHeight="false" outlineLevel="0" collapsed="false">
      <c r="A98" s="7" t="n">
        <v>96</v>
      </c>
      <c r="B98" s="7" t="s">
        <v>200</v>
      </c>
      <c r="C98" s="7" t="s">
        <v>201</v>
      </c>
    </row>
    <row r="99" customFormat="false" ht="15" hidden="false" customHeight="false" outlineLevel="0" collapsed="false">
      <c r="A99" s="7" t="n">
        <v>97</v>
      </c>
      <c r="B99" s="7" t="s">
        <v>202</v>
      </c>
      <c r="C99" s="7" t="s">
        <v>203</v>
      </c>
    </row>
    <row r="100" customFormat="false" ht="15" hidden="false" customHeight="false" outlineLevel="0" collapsed="false">
      <c r="A100" s="7" t="n">
        <v>98</v>
      </c>
      <c r="B100" s="7" t="s">
        <v>204</v>
      </c>
      <c r="C100" s="7" t="s">
        <v>205</v>
      </c>
    </row>
    <row r="101" customFormat="false" ht="15" hidden="false" customHeight="false" outlineLevel="0" collapsed="false">
      <c r="A101" s="7" t="n">
        <v>99</v>
      </c>
      <c r="B101" s="7" t="s">
        <v>206</v>
      </c>
      <c r="C101" s="7" t="s">
        <v>207</v>
      </c>
    </row>
    <row r="102" customFormat="false" ht="15" hidden="false" customHeight="false" outlineLevel="0" collapsed="false">
      <c r="A102" s="7" t="n">
        <v>100</v>
      </c>
      <c r="B102" s="7" t="s">
        <v>208</v>
      </c>
      <c r="C102" s="7" t="s">
        <v>209</v>
      </c>
    </row>
    <row r="103" customFormat="false" ht="15" hidden="false" customHeight="false" outlineLevel="0" collapsed="false">
      <c r="A103" s="7" t="n">
        <v>101</v>
      </c>
      <c r="B103" s="7" t="s">
        <v>210</v>
      </c>
      <c r="C103" s="7" t="s">
        <v>211</v>
      </c>
    </row>
    <row r="104" customFormat="false" ht="15" hidden="false" customHeight="false" outlineLevel="0" collapsed="false">
      <c r="A104" s="7" t="n">
        <v>102</v>
      </c>
      <c r="B104" s="7" t="s">
        <v>212</v>
      </c>
      <c r="C104" s="7" t="s">
        <v>213</v>
      </c>
    </row>
    <row r="105" customFormat="false" ht="15" hidden="false" customHeight="false" outlineLevel="0" collapsed="false">
      <c r="A105" s="7" t="n">
        <v>103</v>
      </c>
      <c r="B105" s="7" t="s">
        <v>214</v>
      </c>
      <c r="C105" s="7" t="s">
        <v>215</v>
      </c>
    </row>
    <row r="106" customFormat="false" ht="15" hidden="false" customHeight="false" outlineLevel="0" collapsed="false">
      <c r="A106" s="7" t="n">
        <v>104</v>
      </c>
      <c r="B106" s="7" t="s">
        <v>10</v>
      </c>
      <c r="C106" s="7" t="s">
        <v>216</v>
      </c>
    </row>
    <row r="107" customFormat="false" ht="15" hidden="false" customHeight="false" outlineLevel="0" collapsed="false">
      <c r="A107" s="7" t="n">
        <v>105</v>
      </c>
      <c r="B107" s="7" t="s">
        <v>14</v>
      </c>
      <c r="C107" s="7" t="s">
        <v>217</v>
      </c>
    </row>
    <row r="108" customFormat="false" ht="15" hidden="false" customHeight="false" outlineLevel="0" collapsed="false">
      <c r="A108" s="7" t="n">
        <v>106</v>
      </c>
      <c r="B108" s="7" t="s">
        <v>218</v>
      </c>
      <c r="C108" s="7" t="s">
        <v>219</v>
      </c>
    </row>
    <row r="109" customFormat="false" ht="15" hidden="false" customHeight="false" outlineLevel="0" collapsed="false">
      <c r="A109" s="7" t="n">
        <v>107</v>
      </c>
      <c r="B109" s="7" t="s">
        <v>4</v>
      </c>
      <c r="C109" s="7" t="s">
        <v>220</v>
      </c>
    </row>
    <row r="110" customFormat="false" ht="15" hidden="false" customHeight="false" outlineLevel="0" collapsed="false">
      <c r="A110" s="7" t="n">
        <v>108</v>
      </c>
      <c r="B110" s="7" t="s">
        <v>221</v>
      </c>
      <c r="C110" s="7" t="s">
        <v>222</v>
      </c>
    </row>
    <row r="111" customFormat="false" ht="15" hidden="false" customHeight="false" outlineLevel="0" collapsed="false">
      <c r="A111" s="7" t="n">
        <v>109</v>
      </c>
      <c r="B111" s="7" t="s">
        <v>223</v>
      </c>
      <c r="C111" s="7" t="s">
        <v>224</v>
      </c>
    </row>
    <row r="112" customFormat="false" ht="15" hidden="false" customHeight="false" outlineLevel="0" collapsed="false">
      <c r="A112" s="7" t="n">
        <v>110</v>
      </c>
      <c r="B112" s="7" t="s">
        <v>225</v>
      </c>
      <c r="C112" s="7" t="s">
        <v>226</v>
      </c>
    </row>
    <row r="113" customFormat="false" ht="15" hidden="false" customHeight="false" outlineLevel="0" collapsed="false">
      <c r="A113" s="7" t="n">
        <v>111</v>
      </c>
      <c r="B113" s="7" t="s">
        <v>13</v>
      </c>
      <c r="C113" s="7" t="s">
        <v>227</v>
      </c>
    </row>
    <row r="114" customFormat="false" ht="15" hidden="false" customHeight="false" outlineLevel="0" collapsed="false">
      <c r="A114" s="7" t="n">
        <v>112</v>
      </c>
      <c r="B114" s="7" t="s">
        <v>228</v>
      </c>
      <c r="C114" s="7" t="s">
        <v>229</v>
      </c>
    </row>
    <row r="115" customFormat="false" ht="15" hidden="false" customHeight="false" outlineLevel="0" collapsed="false">
      <c r="A115" s="7" t="n">
        <v>113</v>
      </c>
      <c r="B115" s="7" t="s">
        <v>230</v>
      </c>
      <c r="C115" s="7" t="s">
        <v>231</v>
      </c>
    </row>
    <row r="116" customFormat="false" ht="15" hidden="false" customHeight="false" outlineLevel="0" collapsed="false">
      <c r="A116" s="7" t="n">
        <v>114</v>
      </c>
      <c r="B116" s="7" t="s">
        <v>232</v>
      </c>
      <c r="C116" s="7" t="s">
        <v>233</v>
      </c>
    </row>
    <row r="117" customFormat="false" ht="15" hidden="false" customHeight="false" outlineLevel="0" collapsed="false">
      <c r="A117" s="7" t="n">
        <v>115</v>
      </c>
      <c r="B117" s="7" t="s">
        <v>234</v>
      </c>
      <c r="C117" s="7" t="s">
        <v>235</v>
      </c>
    </row>
    <row r="118" customFormat="false" ht="15" hidden="false" customHeight="false" outlineLevel="0" collapsed="false">
      <c r="A118" s="7" t="n">
        <v>116</v>
      </c>
      <c r="B118" s="7" t="s">
        <v>236</v>
      </c>
      <c r="C118" s="7" t="s">
        <v>237</v>
      </c>
    </row>
    <row r="119" customFormat="false" ht="15" hidden="false" customHeight="false" outlineLevel="0" collapsed="false">
      <c r="A119" s="7" t="n">
        <v>117</v>
      </c>
      <c r="B119" s="7" t="s">
        <v>238</v>
      </c>
      <c r="C119" s="7" t="s">
        <v>239</v>
      </c>
    </row>
    <row r="120" customFormat="false" ht="15" hidden="false" customHeight="false" outlineLevel="0" collapsed="false">
      <c r="A120" s="7" t="n">
        <v>118</v>
      </c>
      <c r="B120" s="7" t="s">
        <v>240</v>
      </c>
      <c r="C120" s="7" t="s">
        <v>241</v>
      </c>
    </row>
    <row r="121" customFormat="false" ht="15" hidden="false" customHeight="false" outlineLevel="0" collapsed="false">
      <c r="A121" s="7" t="n">
        <v>119</v>
      </c>
      <c r="B121" s="7" t="s">
        <v>242</v>
      </c>
      <c r="C121" s="7" t="s">
        <v>243</v>
      </c>
    </row>
    <row r="122" customFormat="false" ht="15" hidden="false" customHeight="false" outlineLevel="0" collapsed="false">
      <c r="A122" s="7" t="n">
        <v>120</v>
      </c>
      <c r="B122" s="7" t="s">
        <v>244</v>
      </c>
      <c r="C122" s="7" t="s">
        <v>245</v>
      </c>
    </row>
    <row r="123" customFormat="false" ht="15" hidden="false" customHeight="false" outlineLevel="0" collapsed="false">
      <c r="A123" s="7" t="n">
        <v>121</v>
      </c>
      <c r="B123" s="7" t="s">
        <v>246</v>
      </c>
      <c r="C123" s="7" t="s">
        <v>247</v>
      </c>
    </row>
    <row r="124" customFormat="false" ht="15" hidden="false" customHeight="false" outlineLevel="0" collapsed="false">
      <c r="A124" s="7" t="n">
        <v>122</v>
      </c>
      <c r="B124" s="7" t="s">
        <v>248</v>
      </c>
      <c r="C124" s="7" t="s">
        <v>249</v>
      </c>
    </row>
    <row r="125" customFormat="false" ht="15" hidden="false" customHeight="false" outlineLevel="0" collapsed="false">
      <c r="A125" s="7" t="n">
        <v>123</v>
      </c>
      <c r="B125" s="7" t="s">
        <v>250</v>
      </c>
      <c r="C125" s="7" t="s">
        <v>251</v>
      </c>
    </row>
    <row r="126" customFormat="false" ht="15" hidden="false" customHeight="false" outlineLevel="0" collapsed="false">
      <c r="A126" s="7" t="n">
        <v>124</v>
      </c>
      <c r="B126" s="7" t="s">
        <v>252</v>
      </c>
      <c r="C126" s="7" t="s">
        <v>253</v>
      </c>
    </row>
    <row r="127" customFormat="false" ht="15" hidden="false" customHeight="false" outlineLevel="0" collapsed="false">
      <c r="A127" s="7" t="n">
        <v>125</v>
      </c>
      <c r="B127" s="7" t="s">
        <v>254</v>
      </c>
      <c r="C127" s="7" t="s">
        <v>255</v>
      </c>
    </row>
    <row r="128" customFormat="false" ht="15" hidden="false" customHeight="false" outlineLevel="0" collapsed="false">
      <c r="A128" s="7" t="n">
        <v>126</v>
      </c>
      <c r="B128" s="7" t="s">
        <v>256</v>
      </c>
      <c r="C128" s="7" t="s">
        <v>257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2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1" activeCellId="0" sqref="G1"/>
    </sheetView>
  </sheetViews>
  <sheetFormatPr defaultColWidth="10.6796875" defaultRowHeight="15" customHeight="true" zeroHeight="false" outlineLevelRow="0" outlineLevelCol="0"/>
  <cols>
    <col collapsed="false" customWidth="true" hidden="false" outlineLevel="0" max="2" min="2" style="7" width="22.29"/>
    <col collapsed="false" customWidth="true" hidden="false" outlineLevel="0" max="3" min="3" style="7" width="20.57"/>
    <col collapsed="false" customWidth="true" hidden="false" outlineLevel="0" max="4" min="4" style="7" width="21.43"/>
    <col collapsed="false" customWidth="true" hidden="false" outlineLevel="0" max="5" min="5" style="7" width="22.57"/>
    <col collapsed="false" customWidth="true" hidden="false" outlineLevel="0" max="6" min="6" style="7" width="51.71"/>
    <col collapsed="false" customWidth="true" hidden="false" outlineLevel="0" max="9" min="9" style="7" width="45"/>
  </cols>
  <sheetData>
    <row r="2" customFormat="false" ht="15" hidden="false" customHeight="false" outlineLevel="0" collapsed="false">
      <c r="B2" s="1"/>
      <c r="C2" s="1"/>
      <c r="D2" s="1"/>
      <c r="E2" s="1"/>
      <c r="F2" s="1"/>
      <c r="G2" s="1"/>
      <c r="H2" s="1"/>
      <c r="I2" s="1"/>
      <c r="J2" s="1"/>
      <c r="K2" s="1"/>
      <c r="L2" s="1"/>
    </row>
    <row r="3" customFormat="false" ht="15" hidden="false" customHeight="false" outlineLevel="0" collapsed="false">
      <c r="B3" s="1"/>
      <c r="C3" s="1" t="s">
        <v>258</v>
      </c>
      <c r="D3" s="1"/>
      <c r="E3" s="1" t="s">
        <v>259</v>
      </c>
      <c r="F3" s="1"/>
      <c r="G3" s="1"/>
      <c r="H3" s="1"/>
      <c r="I3" s="1"/>
      <c r="J3" s="1"/>
      <c r="K3" s="1"/>
      <c r="L3" s="1"/>
    </row>
    <row r="4" customFormat="false" ht="15" hidden="false" customHeight="false" outlineLevel="0" collapsed="false">
      <c r="B4" s="8" t="s">
        <v>0</v>
      </c>
      <c r="C4" s="8" t="s">
        <v>260</v>
      </c>
      <c r="D4" s="8" t="s">
        <v>261</v>
      </c>
      <c r="E4" s="8" t="s">
        <v>262</v>
      </c>
      <c r="F4" s="7" t="s">
        <v>263</v>
      </c>
      <c r="G4" s="1"/>
      <c r="H4" s="1"/>
      <c r="I4" s="1"/>
      <c r="J4" s="1"/>
      <c r="K4" s="1"/>
      <c r="L4" s="1"/>
    </row>
    <row r="5" customFormat="false" ht="15" hidden="false" customHeight="false" outlineLevel="0" collapsed="false">
      <c r="B5" s="9" t="s">
        <v>264</v>
      </c>
      <c r="C5" s="9" t="s">
        <v>265</v>
      </c>
      <c r="D5" s="9" t="s">
        <v>266</v>
      </c>
      <c r="E5" s="9" t="s">
        <v>267</v>
      </c>
      <c r="F5" s="7" t="s">
        <v>268</v>
      </c>
      <c r="G5" s="1"/>
      <c r="H5" s="1"/>
      <c r="I5" s="10"/>
      <c r="J5" s="1"/>
      <c r="K5" s="1"/>
      <c r="L5" s="1"/>
    </row>
    <row r="6" customFormat="false" ht="23.85" hidden="false" customHeight="false" outlineLevel="0" collapsed="false">
      <c r="B6" s="9" t="s">
        <v>269</v>
      </c>
      <c r="C6" s="9" t="s">
        <v>270</v>
      </c>
      <c r="D6" s="9" t="s">
        <v>271</v>
      </c>
      <c r="E6" s="9" t="s">
        <v>272</v>
      </c>
      <c r="F6" s="7" t="s">
        <v>273</v>
      </c>
      <c r="G6" s="1"/>
      <c r="H6" s="1"/>
      <c r="I6" s="1"/>
      <c r="J6" s="1"/>
      <c r="K6" s="1"/>
      <c r="L6" s="1"/>
    </row>
    <row r="7" customFormat="false" ht="15" hidden="false" customHeight="false" outlineLevel="0" collapsed="false">
      <c r="B7" s="9" t="s">
        <v>274</v>
      </c>
      <c r="C7" s="9" t="s">
        <v>275</v>
      </c>
      <c r="D7" s="9" t="s">
        <v>276</v>
      </c>
      <c r="E7" s="9" t="s">
        <v>277</v>
      </c>
      <c r="F7" s="7" t="s">
        <v>278</v>
      </c>
      <c r="G7" s="1"/>
      <c r="H7" s="1"/>
      <c r="I7" s="1"/>
      <c r="J7" s="1"/>
      <c r="K7" s="1"/>
      <c r="L7" s="1"/>
    </row>
    <row r="8" customFormat="false" ht="15" hidden="false" customHeight="false" outlineLevel="0" collapsed="false">
      <c r="B8" s="1" t="s">
        <v>279</v>
      </c>
      <c r="C8" s="1" t="s">
        <v>280</v>
      </c>
      <c r="D8" s="1" t="s">
        <v>281</v>
      </c>
      <c r="E8" s="1" t="s">
        <v>282</v>
      </c>
      <c r="F8" s="7" t="s">
        <v>283</v>
      </c>
      <c r="G8" s="1"/>
      <c r="H8" s="1"/>
      <c r="I8" s="1"/>
      <c r="J8" s="1"/>
      <c r="K8" s="1"/>
      <c r="L8" s="1"/>
    </row>
    <row r="9" customFormat="false" ht="15" hidden="false" customHeight="false" outlineLevel="0" collapsed="false">
      <c r="C9" s="1"/>
      <c r="D9" s="1"/>
      <c r="E9" s="1"/>
      <c r="F9" s="1"/>
      <c r="G9" s="1"/>
      <c r="H9" s="1"/>
      <c r="I9" s="1"/>
      <c r="J9" s="1"/>
      <c r="K9" s="1"/>
      <c r="L9" s="1"/>
    </row>
    <row r="10" customFormat="false" ht="15" hidden="false" customHeight="false" outlineLevel="0" collapsed="false">
      <c r="B10" s="1"/>
      <c r="C10" s="1"/>
      <c r="D10" s="1"/>
      <c r="E10" s="1"/>
      <c r="F10" s="1"/>
      <c r="G10" s="1"/>
      <c r="H10" s="1"/>
      <c r="I10" s="1"/>
      <c r="J10" s="1"/>
      <c r="K10" s="1"/>
      <c r="L10" s="1"/>
    </row>
    <row r="11" customFormat="false" ht="15" hidden="false" customHeight="false" outlineLevel="0" collapsed="false">
      <c r="B11" s="1"/>
      <c r="C11" s="1"/>
      <c r="D11" s="1"/>
      <c r="E11" s="1"/>
      <c r="F11" s="1"/>
      <c r="G11" s="1"/>
      <c r="H11" s="1"/>
      <c r="I11" s="1"/>
      <c r="J11" s="1"/>
      <c r="K11" s="1"/>
      <c r="L11" s="1"/>
    </row>
    <row r="12" customFormat="false" ht="15" hidden="false" customHeight="false" outlineLevel="0" collapsed="false">
      <c r="B12" s="1"/>
      <c r="C12" s="1"/>
      <c r="D12" s="1"/>
      <c r="E12" s="1"/>
      <c r="F12" s="1"/>
      <c r="G12" s="1"/>
      <c r="H12" s="1"/>
      <c r="I12" s="1"/>
      <c r="J12" s="1"/>
      <c r="K12" s="1"/>
      <c r="L12" s="1"/>
    </row>
    <row r="13" customFormat="false" ht="15" hidden="false" customHeight="false" outlineLevel="0" collapsed="false">
      <c r="B13" s="1"/>
      <c r="C13" s="1"/>
      <c r="D13" s="1"/>
      <c r="E13" s="1"/>
      <c r="F13" s="1"/>
      <c r="G13" s="1"/>
      <c r="H13" s="1"/>
      <c r="I13" s="1"/>
      <c r="J13" s="1"/>
      <c r="K13" s="1"/>
      <c r="L13" s="1"/>
    </row>
    <row r="14" customFormat="false" ht="15" hidden="false" customHeight="false" outlineLevel="0" collapsed="false">
      <c r="B14" s="1"/>
      <c r="C14" s="1"/>
      <c r="D14" s="1"/>
      <c r="E14" s="1"/>
      <c r="F14" s="1"/>
      <c r="G14" s="1"/>
      <c r="H14" s="1"/>
      <c r="I14" s="1"/>
      <c r="J14" s="1"/>
      <c r="K14" s="1"/>
      <c r="L14" s="1"/>
    </row>
    <row r="15" customFormat="false" ht="15" hidden="false" customHeight="false" outlineLevel="0" collapsed="false">
      <c r="B15" s="1"/>
      <c r="C15" s="1"/>
      <c r="D15" s="1"/>
      <c r="E15" s="1"/>
      <c r="F15" s="1"/>
      <c r="G15" s="1"/>
      <c r="H15" s="1"/>
      <c r="I15" s="1"/>
      <c r="J15" s="1"/>
      <c r="K15" s="1"/>
      <c r="L15" s="1"/>
    </row>
    <row r="16" customFormat="false" ht="15" hidden="false" customHeight="false" outlineLevel="0" collapsed="false">
      <c r="B16" s="3" t="s">
        <v>284</v>
      </c>
      <c r="C16" s="3"/>
      <c r="D16" s="3" t="s">
        <v>285</v>
      </c>
      <c r="E16" s="3"/>
      <c r="F16" s="3" t="s">
        <v>286</v>
      </c>
      <c r="G16" s="3"/>
      <c r="H16" s="3"/>
      <c r="I16" s="3" t="s">
        <v>287</v>
      </c>
      <c r="J16" s="1"/>
      <c r="K16" s="1"/>
      <c r="L16" s="1"/>
    </row>
    <row r="17" customFormat="false" ht="15" hidden="false" customHeight="false" outlineLevel="0" collapsed="false">
      <c r="B17" s="11" t="s">
        <v>15</v>
      </c>
      <c r="C17" s="1"/>
      <c r="D17" s="11" t="s">
        <v>288</v>
      </c>
      <c r="E17" s="1"/>
      <c r="F17" s="1" t="s">
        <v>289</v>
      </c>
      <c r="G17" s="1"/>
      <c r="H17" s="1"/>
      <c r="I17" s="11" t="s">
        <v>290</v>
      </c>
      <c r="J17" s="1"/>
      <c r="K17" s="1"/>
      <c r="L17" s="1"/>
    </row>
    <row r="18" customFormat="false" ht="15" hidden="false" customHeight="false" outlineLevel="0" collapsed="false">
      <c r="B18" s="1"/>
      <c r="C18" s="1"/>
      <c r="D18" s="1" t="s">
        <v>289</v>
      </c>
      <c r="E18" s="1"/>
      <c r="F18" s="1" t="s">
        <v>291</v>
      </c>
      <c r="G18" s="1"/>
      <c r="H18" s="1"/>
      <c r="I18" s="1" t="s">
        <v>292</v>
      </c>
      <c r="J18" s="1"/>
      <c r="K18" s="1"/>
      <c r="L18" s="1"/>
    </row>
    <row r="19" customFormat="false" ht="15" hidden="false" customHeight="false" outlineLevel="0" collapsed="false">
      <c r="B19" s="1"/>
      <c r="C19" s="1"/>
      <c r="D19" s="1" t="s">
        <v>293</v>
      </c>
      <c r="E19" s="1"/>
      <c r="F19" s="11" t="s">
        <v>294</v>
      </c>
      <c r="G19" s="1"/>
      <c r="H19" s="1"/>
      <c r="I19" s="1" t="s">
        <v>293</v>
      </c>
      <c r="J19" s="1"/>
      <c r="K19" s="1"/>
      <c r="L19" s="1"/>
    </row>
    <row r="20" customFormat="false" ht="15" hidden="false" customHeight="false" outlineLevel="0" collapsed="false">
      <c r="D20" s="1"/>
      <c r="E20" s="1"/>
      <c r="F20" s="1"/>
      <c r="G20" s="1"/>
      <c r="H20" s="1"/>
      <c r="I20" s="1"/>
      <c r="J20" s="1"/>
      <c r="K20" s="1"/>
      <c r="L20" s="1"/>
    </row>
    <row r="21" customFormat="false" ht="15" hidden="false" customHeight="false" outlineLevel="0" collapsed="false">
      <c r="B21" s="1"/>
      <c r="C21" s="1"/>
      <c r="D21" s="1"/>
      <c r="E21" s="1"/>
      <c r="F21" s="1"/>
      <c r="G21" s="1"/>
      <c r="H21" s="1"/>
      <c r="I21" s="1"/>
      <c r="J21" s="1"/>
      <c r="K21" s="1"/>
      <c r="L21" s="1"/>
    </row>
    <row r="22" customFormat="false" ht="15" hidden="false" customHeight="false" outlineLevel="0" collapsed="false">
      <c r="B22" s="3" t="s">
        <v>295</v>
      </c>
      <c r="C22" s="1"/>
      <c r="D22" s="1"/>
      <c r="E22" s="1"/>
      <c r="F22" s="1"/>
      <c r="G22" s="1"/>
      <c r="H22" s="1"/>
      <c r="I22" s="1"/>
      <c r="J22" s="1"/>
      <c r="K22" s="1"/>
      <c r="L22" s="1"/>
    </row>
    <row r="23" customFormat="false" ht="15" hidden="false" customHeight="false" outlineLevel="0" collapsed="false">
      <c r="B23" s="11" t="s">
        <v>296</v>
      </c>
      <c r="C23" s="1"/>
      <c r="D23" s="1"/>
      <c r="E23" s="1"/>
      <c r="F23" s="1"/>
      <c r="G23" s="1"/>
      <c r="H23" s="1"/>
      <c r="I23" s="1"/>
      <c r="J23" s="1"/>
      <c r="K23" s="1"/>
      <c r="L23" s="1"/>
    </row>
    <row r="24" customFormat="false" ht="15" hidden="false" customHeight="false" outlineLevel="0" collapsed="false">
      <c r="B24" s="1" t="s">
        <v>297</v>
      </c>
      <c r="C24" s="1"/>
      <c r="D24" s="1"/>
      <c r="E24" s="1"/>
      <c r="F24" s="1"/>
      <c r="G24" s="1"/>
      <c r="H24" s="1"/>
      <c r="I24" s="1"/>
      <c r="J24" s="1"/>
      <c r="K24" s="1"/>
      <c r="L24" s="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O54"/>
  <sheetViews>
    <sheetView showFormulas="false" showGridLines="true" showRowColHeaders="true" showZeros="true" rightToLeft="false" tabSelected="false" showOutlineSymbols="true" defaultGridColor="true" view="normal" topLeftCell="A2" colorId="64" zoomScale="75" zoomScaleNormal="75" zoomScalePageLayoutView="100" workbookViewId="0">
      <selection pane="topLeft" activeCell="K14" activeCellId="0" sqref="K14"/>
    </sheetView>
  </sheetViews>
  <sheetFormatPr defaultColWidth="14.42578125" defaultRowHeight="15" customHeight="true" zeroHeight="false" outlineLevelRow="0" outlineLevelCol="0"/>
  <cols>
    <col collapsed="false" customWidth="true" hidden="false" outlineLevel="0" max="1" min="1" style="7" width="3.42"/>
    <col collapsed="false" customWidth="true" hidden="false" outlineLevel="0" max="2" min="2" style="7" width="15.85"/>
    <col collapsed="false" customWidth="true" hidden="false" outlineLevel="0" max="3" min="3" style="7" width="12.71"/>
    <col collapsed="false" customWidth="true" hidden="false" outlineLevel="0" max="4" min="4" style="7" width="13.29"/>
    <col collapsed="false" customWidth="true" hidden="false" outlineLevel="0" max="5" min="5" style="7" width="12.71"/>
    <col collapsed="false" customWidth="true" hidden="false" outlineLevel="0" max="6" min="6" style="7" width="12.42"/>
    <col collapsed="false" customWidth="true" hidden="false" outlineLevel="0" max="8" min="7" style="7" width="12.57"/>
    <col collapsed="false" customWidth="true" hidden="false" outlineLevel="0" max="9" min="9" style="7" width="11.85"/>
    <col collapsed="false" customWidth="true" hidden="false" outlineLevel="0" max="10" min="10" style="7" width="13"/>
    <col collapsed="false" customWidth="true" hidden="false" outlineLevel="0" max="11" min="11" style="7" width="13.57"/>
    <col collapsed="false" customWidth="true" hidden="false" outlineLevel="0" max="13" min="13" style="7" width="13"/>
    <col collapsed="false" customWidth="true" hidden="false" outlineLevel="0" max="14" min="14" style="7" width="12"/>
    <col collapsed="false" customWidth="true" hidden="false" outlineLevel="0" max="15" min="15" style="7" width="15.57"/>
  </cols>
  <sheetData>
    <row r="2" customFormat="false" ht="15" hidden="false" customHeight="false" outlineLevel="0" collapsed="false">
      <c r="B2" s="12" t="s">
        <v>298</v>
      </c>
      <c r="H2" s="13"/>
    </row>
    <row r="3" customFormat="false" ht="15" hidden="false" customHeight="false" outlineLevel="0" collapsed="false">
      <c r="A3" s="12"/>
      <c r="I3" s="14"/>
    </row>
    <row r="4" customFormat="false" ht="15" hidden="false" customHeight="false" outlineLevel="0" collapsed="false">
      <c r="A4" s="12"/>
      <c r="B4" s="12" t="s">
        <v>299</v>
      </c>
      <c r="C4" s="12" t="s">
        <v>300</v>
      </c>
      <c r="D4" s="12" t="s">
        <v>301</v>
      </c>
      <c r="E4" s="12" t="s">
        <v>302</v>
      </c>
      <c r="F4" s="12" t="s">
        <v>303</v>
      </c>
      <c r="G4" s="12" t="s">
        <v>304</v>
      </c>
      <c r="H4" s="12" t="s">
        <v>305</v>
      </c>
      <c r="I4" s="12" t="s">
        <v>306</v>
      </c>
      <c r="J4" s="12" t="s">
        <v>307</v>
      </c>
      <c r="K4" s="12" t="s">
        <v>308</v>
      </c>
      <c r="L4" s="12" t="s">
        <v>309</v>
      </c>
      <c r="M4" s="12" t="s">
        <v>310</v>
      </c>
      <c r="N4" s="12" t="s">
        <v>311</v>
      </c>
    </row>
    <row r="5" customFormat="false" ht="15" hidden="false" customHeight="false" outlineLevel="0" collapsed="false">
      <c r="A5" s="15"/>
      <c r="B5" s="15" t="s">
        <v>312</v>
      </c>
      <c r="C5" s="16" t="n">
        <v>110000</v>
      </c>
      <c r="D5" s="16"/>
      <c r="E5" s="16"/>
      <c r="F5" s="16" t="n">
        <v>104500</v>
      </c>
      <c r="G5" s="16" t="n">
        <v>110000</v>
      </c>
      <c r="H5" s="16" t="n">
        <v>52250</v>
      </c>
      <c r="I5" s="16" t="n">
        <v>132000</v>
      </c>
      <c r="J5" s="16" t="n">
        <v>120000</v>
      </c>
      <c r="K5" s="16" t="n">
        <v>132000</v>
      </c>
      <c r="L5" s="16"/>
      <c r="M5" s="16"/>
      <c r="N5" s="16"/>
    </row>
    <row r="6" customFormat="false" ht="15" hidden="false" customHeight="false" outlineLevel="0" collapsed="false">
      <c r="A6" s="15"/>
      <c r="B6" s="15" t="s">
        <v>313</v>
      </c>
      <c r="C6" s="16" t="n">
        <v>56000</v>
      </c>
      <c r="D6" s="16"/>
      <c r="E6" s="16"/>
      <c r="F6" s="16" t="n">
        <v>60000</v>
      </c>
      <c r="G6" s="16" t="n">
        <v>60000</v>
      </c>
      <c r="H6" s="16" t="n">
        <v>62000</v>
      </c>
      <c r="I6" s="16" t="n">
        <v>62000</v>
      </c>
      <c r="J6" s="16" t="n">
        <v>65000</v>
      </c>
      <c r="K6" s="16" t="n">
        <v>68000</v>
      </c>
      <c r="L6" s="16"/>
      <c r="M6" s="16"/>
      <c r="N6" s="16"/>
      <c r="O6" s="16"/>
    </row>
    <row r="7" customFormat="false" ht="15" hidden="false" customHeight="false" outlineLevel="0" collapsed="false">
      <c r="B7" s="7" t="s">
        <v>314</v>
      </c>
      <c r="C7" s="14" t="n">
        <v>98462</v>
      </c>
      <c r="D7" s="14" t="n">
        <v>98462</v>
      </c>
      <c r="E7" s="14" t="n">
        <v>98462</v>
      </c>
      <c r="F7" s="14" t="n">
        <v>98462</v>
      </c>
      <c r="G7" s="14" t="n">
        <v>98462</v>
      </c>
      <c r="H7" s="14" t="n">
        <v>98462</v>
      </c>
      <c r="I7" s="14" t="n">
        <v>171262</v>
      </c>
      <c r="J7" s="14" t="n">
        <v>171262</v>
      </c>
      <c r="K7" s="14" t="n">
        <v>171262</v>
      </c>
      <c r="L7" s="14"/>
      <c r="M7" s="14"/>
      <c r="N7" s="14"/>
    </row>
    <row r="8" customFormat="false" ht="15" hidden="false" customHeight="false" outlineLevel="0" collapsed="false">
      <c r="A8" s="15"/>
      <c r="B8" s="15" t="s">
        <v>315</v>
      </c>
      <c r="C8" s="16" t="n">
        <v>0</v>
      </c>
      <c r="D8" s="16" t="n">
        <v>0</v>
      </c>
      <c r="E8" s="16" t="n">
        <v>25000</v>
      </c>
      <c r="F8" s="16" t="n">
        <v>28000</v>
      </c>
      <c r="G8" s="16" t="n">
        <v>28000</v>
      </c>
      <c r="H8" s="16" t="s">
        <v>316</v>
      </c>
      <c r="I8" s="16" t="n">
        <v>28000</v>
      </c>
      <c r="J8" s="16" t="n">
        <v>31000</v>
      </c>
      <c r="K8" s="16" t="n">
        <v>31000</v>
      </c>
      <c r="L8" s="16"/>
      <c r="M8" s="16"/>
      <c r="N8" s="16"/>
    </row>
    <row r="9" customFormat="false" ht="15" hidden="false" customHeight="false" outlineLevel="0" collapsed="false">
      <c r="B9" s="17" t="s">
        <v>317</v>
      </c>
      <c r="C9" s="18" t="n">
        <v>383279</v>
      </c>
      <c r="D9" s="18" t="n">
        <v>2381136</v>
      </c>
      <c r="E9" s="18" t="n">
        <v>1034425</v>
      </c>
      <c r="F9" s="19" t="n">
        <v>0</v>
      </c>
      <c r="G9" s="19" t="n">
        <v>0</v>
      </c>
      <c r="H9" s="18" t="n">
        <v>320000</v>
      </c>
      <c r="I9" s="18" t="n">
        <v>1912000</v>
      </c>
      <c r="J9" s="19"/>
      <c r="K9" s="18"/>
      <c r="L9" s="18"/>
      <c r="M9" s="14"/>
      <c r="N9" s="14"/>
    </row>
    <row r="10" customFormat="false" ht="15" hidden="false" customHeight="false" outlineLevel="0" collapsed="false">
      <c r="B10" s="17" t="s">
        <v>318</v>
      </c>
      <c r="C10" s="18" t="n">
        <v>120469</v>
      </c>
      <c r="D10" s="18" t="n">
        <v>781136</v>
      </c>
      <c r="E10" s="18" t="n">
        <v>2916845</v>
      </c>
      <c r="F10" s="18" t="n">
        <v>187785</v>
      </c>
      <c r="G10" s="18" t="n">
        <v>1071200</v>
      </c>
      <c r="H10" s="18" t="n">
        <v>58797</v>
      </c>
      <c r="I10" s="18" t="n">
        <v>139509</v>
      </c>
      <c r="J10" s="19"/>
      <c r="K10" s="18"/>
      <c r="L10" s="18"/>
      <c r="M10" s="14"/>
      <c r="N10" s="14"/>
    </row>
    <row r="11" customFormat="false" ht="15" hidden="false" customHeight="false" outlineLevel="0" collapsed="false">
      <c r="B11" s="17" t="s">
        <v>319</v>
      </c>
      <c r="C11" s="18" t="n">
        <v>422870.52</v>
      </c>
      <c r="D11" s="18" t="n">
        <v>517597.1</v>
      </c>
      <c r="E11" s="18" t="n">
        <v>227149.34</v>
      </c>
      <c r="F11" s="18" t="n">
        <v>415399</v>
      </c>
      <c r="G11" s="18" t="n">
        <v>185526.33</v>
      </c>
      <c r="H11" s="18" t="n">
        <v>310596.28</v>
      </c>
      <c r="I11" s="18" t="n">
        <v>396791.56</v>
      </c>
      <c r="J11" s="18" t="n">
        <v>114108.36</v>
      </c>
      <c r="K11" s="18"/>
      <c r="L11" s="18"/>
      <c r="M11" s="14"/>
      <c r="N11" s="14"/>
    </row>
    <row r="12" customFormat="false" ht="15" hidden="false" customHeight="false" outlineLevel="0" collapsed="false">
      <c r="B12" s="17" t="s">
        <v>320</v>
      </c>
      <c r="C12" s="18" t="n">
        <v>310204.5</v>
      </c>
      <c r="D12" s="18" t="n">
        <v>271022</v>
      </c>
      <c r="E12" s="18" t="n">
        <v>315253</v>
      </c>
      <c r="F12" s="18" t="n">
        <v>315797.65</v>
      </c>
      <c r="G12" s="18" t="n">
        <v>346064.62</v>
      </c>
      <c r="H12" s="18" t="n">
        <v>275791.68</v>
      </c>
      <c r="I12" s="18" t="n">
        <v>247228.5</v>
      </c>
      <c r="J12" s="18" t="n">
        <v>414288.89</v>
      </c>
      <c r="K12" s="18" t="n">
        <v>266186</v>
      </c>
      <c r="L12" s="18"/>
      <c r="M12" s="14"/>
      <c r="N12" s="14"/>
    </row>
    <row r="13" customFormat="false" ht="15" hidden="false" customHeight="false" outlineLevel="0" collapsed="false">
      <c r="A13" s="20"/>
      <c r="B13" s="20" t="s">
        <v>321</v>
      </c>
      <c r="C13" s="21" t="n">
        <f aca="false">C7+C9+C10+C11+C12</f>
        <v>1335285.02</v>
      </c>
      <c r="D13" s="21" t="n">
        <f aca="false">D7+D9+D10+D11+D12</f>
        <v>4049353.1</v>
      </c>
      <c r="E13" s="21" t="n">
        <f aca="false">E7+E9+E10+E11+E12</f>
        <v>4592134.34</v>
      </c>
      <c r="F13" s="21" t="n">
        <f aca="false">F7+F9+F10+F11+F12</f>
        <v>1017443.65</v>
      </c>
      <c r="G13" s="21" t="n">
        <f aca="false">G7+G9+G10+G11+G12</f>
        <v>1701252.95</v>
      </c>
      <c r="H13" s="21" t="n">
        <f aca="false">H7+H9+H10+H11+H12</f>
        <v>1063646.96</v>
      </c>
      <c r="I13" s="21" t="n">
        <f aca="false">I7+I9+I10+I11+I12</f>
        <v>2866791.06</v>
      </c>
      <c r="J13" s="21" t="n">
        <f aca="false">J7+J9+J10+J11+J12</f>
        <v>699659.25</v>
      </c>
      <c r="K13" s="21" t="n">
        <f aca="false">K7+K9+K10+K11+K12</f>
        <v>437448</v>
      </c>
      <c r="L13" s="21" t="n">
        <f aca="false">L7+L9+L10+L11+L12</f>
        <v>0</v>
      </c>
      <c r="M13" s="21" t="n">
        <f aca="false">M7+M9+M10+M11+M12</f>
        <v>0</v>
      </c>
      <c r="N13" s="21" t="n">
        <f aca="false">N7+N9+N10+N11+N12</f>
        <v>0</v>
      </c>
      <c r="O13" s="13" t="n">
        <f aca="false">SUM(C13:N13)</f>
        <v>17763014.33</v>
      </c>
    </row>
    <row r="14" customFormat="false" ht="15" hidden="false" customHeight="false" outlineLevel="0" collapsed="false">
      <c r="B14" s="7" t="s">
        <v>258</v>
      </c>
      <c r="C14" s="14" t="n">
        <f aca="false">787320+3091398.48+3210705.36</f>
        <v>7089423.84</v>
      </c>
      <c r="D14" s="14" t="n">
        <v>7375794.97</v>
      </c>
      <c r="E14" s="14" t="n">
        <v>3897934.77</v>
      </c>
      <c r="F14" s="14" t="n">
        <v>3767805.3</v>
      </c>
      <c r="G14" s="14" t="n">
        <v>5071881.03</v>
      </c>
      <c r="H14" s="14" t="n">
        <v>4640475.93</v>
      </c>
      <c r="I14" s="14" t="n">
        <v>8087055.33</v>
      </c>
      <c r="J14" s="22" t="n">
        <v>5129394.84</v>
      </c>
      <c r="K14" s="22"/>
      <c r="L14" s="22"/>
      <c r="M14" s="22"/>
      <c r="N14" s="22"/>
      <c r="O14" s="13" t="n">
        <f aca="false">SUM(C14:N14)</f>
        <v>45059766.01</v>
      </c>
    </row>
    <row r="15" customFormat="false" ht="15" hidden="false" customHeight="false" outlineLevel="0" collapsed="false">
      <c r="A15" s="23"/>
      <c r="B15" s="23" t="s">
        <v>322</v>
      </c>
      <c r="C15" s="24" t="n">
        <f aca="false">C14-C13</f>
        <v>5754138.82</v>
      </c>
      <c r="D15" s="24" t="n">
        <f aca="false">D14-D13</f>
        <v>3326441.87</v>
      </c>
      <c r="E15" s="24" t="n">
        <f aca="false">E14-E13</f>
        <v>-694199.57</v>
      </c>
      <c r="F15" s="24" t="n">
        <f aca="false">F14-F13</f>
        <v>2750361.65</v>
      </c>
      <c r="G15" s="24" t="n">
        <f aca="false">G14-G13</f>
        <v>3370628.08</v>
      </c>
      <c r="H15" s="24" t="n">
        <f aca="false">H14-H13</f>
        <v>3576828.97</v>
      </c>
      <c r="I15" s="24" t="n">
        <f aca="false">I14-I13</f>
        <v>5220264.27</v>
      </c>
      <c r="J15" s="25" t="n">
        <f aca="false">J14-J13</f>
        <v>4429735.59</v>
      </c>
      <c r="K15" s="25" t="n">
        <f aca="false">K14-K13</f>
        <v>-437448</v>
      </c>
      <c r="L15" s="25" t="n">
        <f aca="false">L14-L13</f>
        <v>0</v>
      </c>
      <c r="M15" s="25" t="n">
        <f aca="false">M14-M13</f>
        <v>0</v>
      </c>
      <c r="N15" s="25" t="n">
        <f aca="false">N14-N13</f>
        <v>0</v>
      </c>
      <c r="O15" s="13" t="n">
        <f aca="false">SUM(C15:N15)</f>
        <v>27296751.68</v>
      </c>
    </row>
    <row r="16" customFormat="false" ht="15" hidden="false" customHeight="false" outlineLevel="0" collapsed="false">
      <c r="A16" s="23"/>
      <c r="B16" s="23" t="s">
        <v>323</v>
      </c>
      <c r="C16" s="26" t="n">
        <f aca="false">C15/C14</f>
        <v>0.811651122836521</v>
      </c>
      <c r="D16" s="26" t="n">
        <f aca="false">D15/D14</f>
        <v>0.450994351595974</v>
      </c>
      <c r="E16" s="26" t="n">
        <f aca="false">E15/E14</f>
        <v>-0.178094198841609</v>
      </c>
      <c r="F16" s="26" t="n">
        <f aca="false">F15/F14</f>
        <v>0.729963846592604</v>
      </c>
      <c r="G16" s="26" t="n">
        <f aca="false">G15/G14</f>
        <v>0.664571597808161</v>
      </c>
      <c r="H16" s="26" t="n">
        <f aca="false">H15/H14</f>
        <v>0.770789251782629</v>
      </c>
      <c r="I16" s="26" t="n">
        <f aca="false">I15/I14</f>
        <v>0.64550866254553</v>
      </c>
      <c r="J16" s="26" t="n">
        <f aca="false">J15/J14</f>
        <v>0.863598090647278</v>
      </c>
      <c r="K16" s="26" t="e">
        <f aca="false">K15/K14</f>
        <v>#DIV/0!</v>
      </c>
      <c r="L16" s="26" t="e">
        <f aca="false">L15/L14</f>
        <v>#DIV/0!</v>
      </c>
      <c r="M16" s="26" t="e">
        <f aca="false">M15/M14</f>
        <v>#DIV/0!</v>
      </c>
      <c r="N16" s="26" t="e">
        <f aca="false">N15/N14</f>
        <v>#DIV/0!</v>
      </c>
      <c r="O16" s="26" t="n">
        <f aca="false">O15/O14</f>
        <v>0.605789911868209</v>
      </c>
    </row>
    <row r="17" customFormat="false" ht="15" hidden="false" customHeight="false" outlineLevel="0" collapsed="false">
      <c r="D17" s="7" t="s">
        <v>324</v>
      </c>
      <c r="E17" s="7" t="s">
        <v>325</v>
      </c>
    </row>
    <row r="18" customFormat="false" ht="15" hidden="false" customHeight="false" outlineLevel="0" collapsed="false">
      <c r="B18" s="12" t="s">
        <v>326</v>
      </c>
      <c r="I18" s="14"/>
    </row>
    <row r="20" customFormat="false" ht="15" hidden="false" customHeight="false" outlineLevel="0" collapsed="false">
      <c r="D20" s="27" t="s">
        <v>327</v>
      </c>
      <c r="F20" s="12"/>
      <c r="G20" s="12"/>
      <c r="H20" s="12"/>
    </row>
    <row r="21" customFormat="false" ht="15" hidden="false" customHeight="false" outlineLevel="0" collapsed="false">
      <c r="F21" s="6"/>
      <c r="H21" s="6" t="s">
        <v>328</v>
      </c>
    </row>
    <row r="22" customFormat="false" ht="15" hidden="false" customHeight="false" outlineLevel="0" collapsed="false">
      <c r="F22" s="6"/>
      <c r="H22" s="6" t="n">
        <v>300000</v>
      </c>
    </row>
    <row r="23" customFormat="false" ht="15" hidden="false" customHeight="false" outlineLevel="0" collapsed="false">
      <c r="F23" s="6"/>
      <c r="H23" s="6" t="n">
        <v>170000</v>
      </c>
    </row>
    <row r="24" customFormat="false" ht="15" hidden="false" customHeight="false" outlineLevel="0" collapsed="false">
      <c r="F24" s="6"/>
      <c r="H24" s="6"/>
    </row>
    <row r="25" customFormat="false" ht="15" hidden="false" customHeight="false" outlineLevel="0" collapsed="false">
      <c r="D25" s="27" t="s">
        <v>329</v>
      </c>
      <c r="F25" s="6"/>
      <c r="H25" s="6"/>
    </row>
    <row r="26" customFormat="false" ht="15" hidden="false" customHeight="false" outlineLevel="0" collapsed="false">
      <c r="D26" s="7" t="s">
        <v>330</v>
      </c>
      <c r="E26" s="7" t="s">
        <v>331</v>
      </c>
      <c r="F26" s="6" t="s">
        <v>332</v>
      </c>
      <c r="G26" s="7" t="s">
        <v>333</v>
      </c>
      <c r="H26" s="6" t="s">
        <v>334</v>
      </c>
    </row>
    <row r="27" customFormat="false" ht="15" hidden="false" customHeight="false" outlineLevel="0" collapsed="false">
      <c r="D27" s="7" t="n">
        <v>4500</v>
      </c>
      <c r="E27" s="7" t="n">
        <v>275000</v>
      </c>
      <c r="F27" s="6" t="n">
        <v>2600</v>
      </c>
      <c r="G27" s="6" t="n">
        <v>50000</v>
      </c>
      <c r="H27" s="6" t="n">
        <v>3400</v>
      </c>
      <c r="K27" s="6"/>
    </row>
    <row r="28" customFormat="false" ht="15" hidden="false" customHeight="false" outlineLevel="0" collapsed="false">
      <c r="D28" s="7" t="n">
        <v>11000</v>
      </c>
      <c r="E28" s="7" t="n">
        <v>5000</v>
      </c>
      <c r="F28" s="6" t="n">
        <v>35000</v>
      </c>
      <c r="G28" s="6" t="n">
        <v>4500</v>
      </c>
      <c r="H28" s="6" t="n">
        <v>11659</v>
      </c>
      <c r="K28" s="6"/>
    </row>
    <row r="29" customFormat="false" ht="15" hidden="false" customHeight="false" outlineLevel="0" collapsed="false">
      <c r="D29" s="7" t="n">
        <v>74600</v>
      </c>
      <c r="E29" s="28" t="n">
        <v>7600</v>
      </c>
      <c r="F29" s="6" t="n">
        <v>9197</v>
      </c>
      <c r="G29" s="7" t="n">
        <v>4500</v>
      </c>
      <c r="H29" s="6" t="n">
        <v>7300</v>
      </c>
    </row>
    <row r="30" customFormat="false" ht="15" hidden="false" customHeight="false" outlineLevel="0" collapsed="false">
      <c r="D30" s="7" t="n">
        <v>9000</v>
      </c>
      <c r="E30" s="7" t="n">
        <v>4000</v>
      </c>
      <c r="F30" s="6" t="n">
        <v>12000</v>
      </c>
      <c r="G30" s="7" t="n">
        <v>8500</v>
      </c>
      <c r="H30" s="6" t="n">
        <v>12000</v>
      </c>
    </row>
    <row r="31" customFormat="false" ht="15" hidden="false" customHeight="false" outlineLevel="0" collapsed="false">
      <c r="D31" s="7" t="n">
        <v>4000</v>
      </c>
      <c r="E31" s="7" t="n">
        <v>17300</v>
      </c>
      <c r="F31" s="29" t="n">
        <f aca="false">SUM(F27:F30)</f>
        <v>58797</v>
      </c>
      <c r="G31" s="7" t="n">
        <v>11500</v>
      </c>
      <c r="H31" s="6" t="n">
        <v>3000</v>
      </c>
    </row>
    <row r="32" customFormat="false" ht="15" hidden="false" customHeight="false" outlineLevel="0" collapsed="false">
      <c r="B32" s="12"/>
      <c r="C32" s="12"/>
      <c r="D32" s="7" t="n">
        <v>4200</v>
      </c>
      <c r="E32" s="7" t="n">
        <v>8400</v>
      </c>
      <c r="G32" s="7" t="n">
        <v>7200</v>
      </c>
      <c r="H32" s="6" t="n">
        <v>3400</v>
      </c>
    </row>
    <row r="33" customFormat="false" ht="15" hidden="false" customHeight="false" outlineLevel="0" collapsed="false">
      <c r="C33" s="12"/>
      <c r="D33" s="7" t="n">
        <v>16920</v>
      </c>
      <c r="E33" s="7" t="n">
        <v>2800</v>
      </c>
      <c r="F33" s="6"/>
      <c r="G33" s="7" t="n">
        <v>107397</v>
      </c>
      <c r="H33" s="6" t="n">
        <v>7908</v>
      </c>
    </row>
    <row r="34" customFormat="false" ht="15" hidden="false" customHeight="false" outlineLevel="0" collapsed="false">
      <c r="C34" s="12"/>
      <c r="D34" s="7" t="n">
        <v>14000</v>
      </c>
      <c r="E34" s="7" t="n">
        <v>14500</v>
      </c>
      <c r="F34" s="29"/>
      <c r="G34" s="7" t="n">
        <v>6000</v>
      </c>
      <c r="H34" s="6" t="n">
        <v>-17000</v>
      </c>
    </row>
    <row r="35" customFormat="false" ht="15" hidden="false" customHeight="false" outlineLevel="0" collapsed="false">
      <c r="C35" s="12"/>
      <c r="D35" s="7" t="n">
        <v>4500</v>
      </c>
      <c r="E35" s="7" t="n">
        <v>40000</v>
      </c>
      <c r="G35" s="7" t="n">
        <v>6100</v>
      </c>
      <c r="H35" s="6" t="n">
        <v>7700</v>
      </c>
    </row>
    <row r="36" customFormat="false" ht="15" hidden="false" customHeight="false" outlineLevel="0" collapsed="false">
      <c r="C36" s="12"/>
      <c r="D36" s="7" t="n">
        <v>13745</v>
      </c>
      <c r="E36" s="7" t="n">
        <v>18000</v>
      </c>
      <c r="G36" s="7" t="n">
        <v>10000</v>
      </c>
      <c r="H36" s="6" t="n">
        <v>3400</v>
      </c>
    </row>
    <row r="37" customFormat="false" ht="15" hidden="false" customHeight="false" outlineLevel="0" collapsed="false">
      <c r="C37" s="12"/>
      <c r="D37" s="7" t="n">
        <v>15700</v>
      </c>
      <c r="E37" s="7" t="n">
        <v>28000</v>
      </c>
      <c r="G37" s="7" t="n">
        <v>55000</v>
      </c>
      <c r="H37" s="6" t="n">
        <f aca="false">SUM(H27:H36)</f>
        <v>42767</v>
      </c>
    </row>
    <row r="38" customFormat="false" ht="15" hidden="false" customHeight="false" outlineLevel="0" collapsed="false">
      <c r="C38" s="12"/>
      <c r="D38" s="7" t="n">
        <v>11120</v>
      </c>
      <c r="E38" s="7" t="n">
        <v>-34000</v>
      </c>
      <c r="G38" s="7" t="n">
        <v>1700</v>
      </c>
      <c r="H38" s="6"/>
    </row>
    <row r="39" customFormat="false" ht="15" hidden="false" customHeight="false" outlineLevel="0" collapsed="false">
      <c r="C39" s="12"/>
      <c r="D39" s="7" t="n">
        <v>4500</v>
      </c>
      <c r="E39" s="7" t="n">
        <v>5800</v>
      </c>
      <c r="G39" s="7" t="n">
        <v>19900</v>
      </c>
      <c r="H39" s="6"/>
    </row>
    <row r="40" customFormat="false" ht="15" hidden="false" customHeight="false" outlineLevel="0" collapsed="false">
      <c r="C40" s="12"/>
      <c r="D40" s="7" t="n">
        <f aca="false">SUM(D27:D39)</f>
        <v>187785</v>
      </c>
      <c r="E40" s="7" t="n">
        <v>65000</v>
      </c>
      <c r="G40" s="7" t="n">
        <v>2212</v>
      </c>
      <c r="H40" s="6"/>
    </row>
    <row r="41" customFormat="false" ht="15" hidden="false" customHeight="false" outlineLevel="0" collapsed="false">
      <c r="C41" s="12"/>
      <c r="E41" s="7" t="n">
        <v>189000</v>
      </c>
      <c r="F41" s="6"/>
      <c r="G41" s="7" t="n">
        <v>1400</v>
      </c>
      <c r="H41" s="6"/>
    </row>
    <row r="42" customFormat="false" ht="15" hidden="false" customHeight="false" outlineLevel="0" collapsed="false">
      <c r="C42" s="12"/>
      <c r="E42" s="7" t="n">
        <v>19800</v>
      </c>
      <c r="G42" s="7" t="n">
        <v>-99000</v>
      </c>
      <c r="H42" s="6"/>
    </row>
    <row r="43" customFormat="false" ht="15" hidden="false" customHeight="false" outlineLevel="0" collapsed="false">
      <c r="C43" s="12"/>
      <c r="E43" s="7" t="n">
        <v>275000</v>
      </c>
      <c r="G43" s="7" t="n">
        <v>-65000</v>
      </c>
      <c r="H43" s="6"/>
    </row>
    <row r="44" customFormat="false" ht="15" hidden="false" customHeight="false" outlineLevel="0" collapsed="false">
      <c r="B44" s="12"/>
      <c r="C44" s="12"/>
      <c r="E44" s="7" t="n">
        <v>130000</v>
      </c>
      <c r="G44" s="27" t="n">
        <v>7600</v>
      </c>
      <c r="H44" s="6"/>
    </row>
    <row r="45" customFormat="false" ht="15" hidden="false" customHeight="false" outlineLevel="0" collapsed="false">
      <c r="C45" s="12"/>
      <c r="E45" s="7" t="n">
        <f aca="false">SUM(E27:E44)</f>
        <v>1071200</v>
      </c>
      <c r="G45" s="29" t="n">
        <f aca="false">SUM(G27:G44)</f>
        <v>139509</v>
      </c>
      <c r="H45" s="6"/>
    </row>
    <row r="46" customFormat="false" ht="15" hidden="false" customHeight="false" outlineLevel="0" collapsed="false">
      <c r="C46" s="12"/>
      <c r="H46" s="6"/>
    </row>
    <row r="47" customFormat="false" ht="15" hidden="false" customHeight="false" outlineLevel="0" collapsed="false">
      <c r="C47" s="12"/>
      <c r="H47" s="6"/>
    </row>
    <row r="48" customFormat="false" ht="15" hidden="false" customHeight="false" outlineLevel="0" collapsed="false">
      <c r="C48" s="12"/>
      <c r="H48" s="6"/>
    </row>
    <row r="49" customFormat="false" ht="15" hidden="false" customHeight="false" outlineLevel="0" collapsed="false">
      <c r="C49" s="12"/>
      <c r="H49" s="6"/>
    </row>
    <row r="50" customFormat="false" ht="15" hidden="false" customHeight="false" outlineLevel="0" collapsed="false">
      <c r="C50" s="12"/>
      <c r="H50" s="6"/>
    </row>
    <row r="51" customFormat="false" ht="15" hidden="false" customHeight="false" outlineLevel="0" collapsed="false">
      <c r="H51" s="6"/>
    </row>
    <row r="52" customFormat="false" ht="15" hidden="false" customHeight="false" outlineLevel="0" collapsed="false">
      <c r="H52" s="6"/>
    </row>
    <row r="53" customFormat="false" ht="15" hidden="false" customHeight="false" outlineLevel="0" collapsed="false">
      <c r="H53" s="6"/>
    </row>
    <row r="54" customFormat="false" ht="15" hidden="false" customHeight="false" outlineLevel="0" collapsed="false">
      <c r="H54" s="2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J20"/>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B3" activeCellId="0" sqref="B3"/>
    </sheetView>
  </sheetViews>
  <sheetFormatPr defaultColWidth="10.6796875" defaultRowHeight="15" customHeight="true" zeroHeight="false" outlineLevelRow="0" outlineLevelCol="0"/>
  <cols>
    <col collapsed="false" customWidth="true" hidden="false" outlineLevel="0" max="2" min="2" style="7" width="11.43"/>
    <col collapsed="false" customWidth="true" hidden="false" outlineLevel="0" max="3" min="3" style="7" width="15.57"/>
    <col collapsed="false" customWidth="true" hidden="false" outlineLevel="0" max="4" min="4" style="7" width="12"/>
    <col collapsed="false" customWidth="true" hidden="true" outlineLevel="0" max="5" min="5" style="7" width="11.53"/>
    <col collapsed="false" customWidth="true" hidden="false" outlineLevel="0" max="6" min="6" style="7" width="21.43"/>
    <col collapsed="false" customWidth="true" hidden="false" outlineLevel="0" max="10" min="10" style="7" width="15.42"/>
  </cols>
  <sheetData>
    <row r="2" customFormat="false" ht="15" hidden="false" customHeight="false" outlineLevel="0" collapsed="false">
      <c r="B2" s="12" t="s">
        <v>335</v>
      </c>
      <c r="C2" s="12"/>
      <c r="D2" s="12"/>
      <c r="E2" s="12"/>
      <c r="F2" s="12"/>
    </row>
    <row r="3" customFormat="false" ht="15" hidden="false" customHeight="false" outlineLevel="0" collapsed="false">
      <c r="B3" s="12"/>
      <c r="C3" s="30" t="s">
        <v>336</v>
      </c>
      <c r="D3" s="30"/>
      <c r="E3" s="12"/>
      <c r="F3" s="12"/>
    </row>
    <row r="4" customFormat="false" ht="15" hidden="false" customHeight="false" outlineLevel="0" collapsed="false">
      <c r="B4" s="12" t="s">
        <v>337</v>
      </c>
      <c r="C4" s="12" t="s">
        <v>338</v>
      </c>
      <c r="D4" s="12" t="s">
        <v>339</v>
      </c>
      <c r="E4" s="12" t="s">
        <v>340</v>
      </c>
      <c r="F4" s="12" t="s">
        <v>341</v>
      </c>
    </row>
    <row r="5" customFormat="false" ht="15" hidden="false" customHeight="false" outlineLevel="0" collapsed="false">
      <c r="B5" s="31" t="n">
        <v>46024</v>
      </c>
      <c r="C5" s="13" t="n">
        <v>3680</v>
      </c>
      <c r="D5" s="13" t="e">
        <f aca="false">$C5/VLOOKUP($B5,#REF!,2,FALSE())</f>
        <v>#VALUE!</v>
      </c>
    </row>
    <row r="6" customFormat="false" ht="15" hidden="false" customHeight="false" outlineLevel="0" collapsed="false">
      <c r="B6" s="31" t="n">
        <v>46035</v>
      </c>
      <c r="C6" s="13" t="n">
        <v>900000</v>
      </c>
      <c r="D6" s="13" t="e">
        <f aca="false">$C6/VLOOKUP($B6,#REF!,2,FALSE())</f>
        <v>#VALUE!</v>
      </c>
      <c r="I6" s="7" t="s">
        <v>300</v>
      </c>
      <c r="J6" s="32" t="n">
        <v>9153680</v>
      </c>
    </row>
    <row r="7" customFormat="false" ht="15" hidden="false" customHeight="false" outlineLevel="0" collapsed="false">
      <c r="B7" s="31" t="n">
        <v>46037</v>
      </c>
      <c r="C7" s="13" t="n">
        <v>3750000</v>
      </c>
      <c r="D7" s="13" t="e">
        <f aca="false">$C7/VLOOKUP($B7,#REF!,2,FALSE())</f>
        <v>#VALUE!</v>
      </c>
      <c r="I7" s="7" t="s">
        <v>301</v>
      </c>
      <c r="J7" s="32" t="n">
        <v>3360000</v>
      </c>
    </row>
    <row r="8" customFormat="false" ht="15" hidden="false" customHeight="false" outlineLevel="0" collapsed="false">
      <c r="B8" s="31" t="n">
        <v>46043</v>
      </c>
      <c r="C8" s="13" t="n">
        <v>4500000</v>
      </c>
      <c r="D8" s="13" t="e">
        <f aca="false">$C8/VLOOKUP($B8,#REF!,2,FALSE())</f>
        <v>#VALUE!</v>
      </c>
      <c r="I8" s="7" t="s">
        <v>302</v>
      </c>
      <c r="J8" s="32" t="n">
        <v>4400000</v>
      </c>
    </row>
    <row r="9" customFormat="false" ht="15" hidden="false" customHeight="false" outlineLevel="0" collapsed="false">
      <c r="A9" s="27" t="s">
        <v>342</v>
      </c>
      <c r="B9" s="33" t="n">
        <v>46051</v>
      </c>
      <c r="C9" s="34" t="n">
        <v>6000000</v>
      </c>
      <c r="D9" s="34" t="e">
        <f aca="false">$C9/VLOOKUP($B9,#REF!,2,FALSE())</f>
        <v>#VALUE!</v>
      </c>
      <c r="I9" s="7" t="s">
        <v>303</v>
      </c>
      <c r="J9" s="32" t="n">
        <v>4302000</v>
      </c>
    </row>
    <row r="10" customFormat="false" ht="15" hidden="false" customHeight="false" outlineLevel="0" collapsed="false">
      <c r="A10" s="27" t="s">
        <v>342</v>
      </c>
      <c r="B10" s="33" t="n">
        <v>46052</v>
      </c>
      <c r="C10" s="34" t="n">
        <v>2800000</v>
      </c>
      <c r="D10" s="34" t="e">
        <f aca="false">$C10/VLOOKUP($B10,#REF!,2,FALSE())</f>
        <v>#VALUE!</v>
      </c>
    </row>
    <row r="11" customFormat="false" ht="15" hidden="false" customHeight="false" outlineLevel="0" collapsed="false">
      <c r="A11" s="7"/>
      <c r="B11" s="31" t="n">
        <v>46056</v>
      </c>
      <c r="C11" s="13" t="n">
        <v>760000</v>
      </c>
      <c r="D11" s="13" t="e">
        <f aca="false">$C11/VLOOKUP($B11,#REF!,2,FALSE())</f>
        <v>#VALUE!</v>
      </c>
    </row>
    <row r="12" customFormat="false" ht="15" hidden="false" customHeight="false" outlineLevel="0" collapsed="false">
      <c r="A12" s="27" t="s">
        <v>342</v>
      </c>
      <c r="B12" s="33" t="n">
        <v>46059</v>
      </c>
      <c r="C12" s="34" t="n">
        <v>6828000</v>
      </c>
      <c r="D12" s="34" t="e">
        <f aca="false">$C12/VLOOKUP($B12,#REF!,2,FALSE())</f>
        <v>#VALUE!</v>
      </c>
    </row>
    <row r="13" customFormat="false" ht="15" hidden="false" customHeight="false" outlineLevel="0" collapsed="false">
      <c r="A13" s="27" t="s">
        <v>342</v>
      </c>
      <c r="B13" s="33" t="n">
        <v>46064</v>
      </c>
      <c r="C13" s="34" t="n">
        <v>1400000</v>
      </c>
      <c r="D13" s="34" t="e">
        <f aca="false">$C13/VLOOKUP($B13,#REF!,2,FALSE())</f>
        <v>#VALUE!</v>
      </c>
    </row>
    <row r="14" customFormat="false" ht="15" hidden="false" customHeight="false" outlineLevel="0" collapsed="false">
      <c r="B14" s="31" t="n">
        <v>46066</v>
      </c>
      <c r="C14" s="13" t="n">
        <v>2600000</v>
      </c>
      <c r="D14" s="13" t="e">
        <f aca="false">$C14/VLOOKUP($B14,#REF!,2,FALSE())</f>
        <v>#VALUE!</v>
      </c>
    </row>
    <row r="15" customFormat="false" ht="15" hidden="false" customHeight="false" outlineLevel="0" collapsed="false">
      <c r="B15" s="31" t="n">
        <v>46083</v>
      </c>
      <c r="C15" s="13" t="n">
        <v>1100000</v>
      </c>
      <c r="D15" s="13" t="e">
        <f aca="false">$C15/VLOOKUP($B15,#REF!,2,FALSE())</f>
        <v>#VALUE!</v>
      </c>
    </row>
    <row r="16" customFormat="false" ht="15" hidden="false" customHeight="false" outlineLevel="0" collapsed="false">
      <c r="B16" s="31" t="n">
        <v>46094</v>
      </c>
      <c r="C16" s="13" t="n">
        <v>3300000</v>
      </c>
      <c r="D16" s="13" t="e">
        <f aca="false">$C16/VLOOKUP($B16,#REF!,2,FALSE())</f>
        <v>#VALUE!</v>
      </c>
    </row>
    <row r="17" customFormat="false" ht="15" hidden="false" customHeight="false" outlineLevel="0" collapsed="false">
      <c r="B17" s="31" t="n">
        <v>46113</v>
      </c>
      <c r="C17" s="13" t="n">
        <v>1000000</v>
      </c>
      <c r="D17" s="13" t="e">
        <f aca="false">$C17/VLOOKUP($B17,#REF!,2,FALSE())</f>
        <v>#VALUE!</v>
      </c>
    </row>
    <row r="18" customFormat="false" ht="15" hidden="false" customHeight="false" outlineLevel="0" collapsed="false">
      <c r="B18" s="31" t="n">
        <v>46125</v>
      </c>
      <c r="C18" s="13" t="n">
        <v>2000</v>
      </c>
      <c r="D18" s="13" t="e">
        <f aca="false">$C18/VLOOKUP($B18,#REF!,2,FALSE())</f>
        <v>#VALUE!</v>
      </c>
    </row>
    <row r="19" customFormat="false" ht="15" hidden="false" customHeight="false" outlineLevel="0" collapsed="false">
      <c r="B19" s="31" t="n">
        <v>46127</v>
      </c>
      <c r="C19" s="13" t="n">
        <v>3300000</v>
      </c>
      <c r="D19" s="13" t="e">
        <f aca="false">$C19/VLOOKUP($B19,#REF!,2,FALSE())</f>
        <v>#VALUE!</v>
      </c>
    </row>
    <row r="20" customFormat="false" ht="15" hidden="false" customHeight="false" outlineLevel="0" collapsed="false">
      <c r="C20" s="35" t="n">
        <f aca="false">SUM(C5:C19)</f>
        <v>38243680</v>
      </c>
      <c r="D20" s="35" t="e">
        <f aca="false">SUM(D5:D19)</f>
        <v>#VALUE!</v>
      </c>
      <c r="E20" s="12" t="n">
        <f aca="true">(TODAY() - DATE(2026,1,1) + 1)</f>
        <v>281</v>
      </c>
      <c r="F20" s="35" t="e">
        <f aca="false">(D20/E20)*365</f>
        <v>#VALUE!</v>
      </c>
    </row>
  </sheetData>
  <mergeCells count="1">
    <mergeCell ref="C3:D3"/>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G56"/>
  <sheetViews>
    <sheetView showFormulas="false" showGridLines="true" showRowColHeaders="true" showZeros="true" rightToLeft="false" tabSelected="false" showOutlineSymbols="true" defaultGridColor="true" view="normal" topLeftCell="A36" colorId="64" zoomScale="75" zoomScaleNormal="75" zoomScalePageLayoutView="100" workbookViewId="0">
      <selection pane="topLeft" activeCell="A20" activeCellId="0" sqref="A20"/>
    </sheetView>
  </sheetViews>
  <sheetFormatPr defaultColWidth="10.6796875" defaultRowHeight="15" customHeight="true" zeroHeight="false" outlineLevelRow="0" outlineLevelCol="0"/>
  <cols>
    <col collapsed="false" customWidth="true" hidden="false" outlineLevel="0" max="3" min="3" style="36" width="113"/>
    <col collapsed="false" customWidth="true" hidden="false" outlineLevel="0" max="4" min="4" style="7" width="20.85"/>
    <col collapsed="false" customWidth="true" hidden="false" outlineLevel="0" max="10" min="6" style="7" width="15.57"/>
    <col collapsed="false" customWidth="true" hidden="false" outlineLevel="0" max="11" min="11" style="7" width="12"/>
  </cols>
  <sheetData>
    <row r="2" customFormat="false" ht="15" hidden="false" customHeight="false" outlineLevel="0" collapsed="false">
      <c r="B2" s="12" t="s">
        <v>337</v>
      </c>
      <c r="C2" s="37" t="s">
        <v>343</v>
      </c>
      <c r="D2" s="12" t="s">
        <v>344</v>
      </c>
    </row>
    <row r="3" customFormat="false" ht="23.85" hidden="false" customHeight="false" outlineLevel="0" collapsed="false">
      <c r="B3" s="38" t="n">
        <v>45658</v>
      </c>
      <c r="C3" s="36" t="s">
        <v>345</v>
      </c>
      <c r="D3" s="7" t="s">
        <v>346</v>
      </c>
    </row>
    <row r="4" customFormat="false" ht="15" hidden="false" customHeight="false" outlineLevel="0" collapsed="false">
      <c r="B4" s="38" t="n">
        <v>45796</v>
      </c>
      <c r="C4" s="36" t="s">
        <v>347</v>
      </c>
      <c r="D4" s="7" t="s">
        <v>348</v>
      </c>
    </row>
    <row r="5" customFormat="false" ht="15" hidden="false" customHeight="false" outlineLevel="0" collapsed="false">
      <c r="B5" s="38" t="n">
        <v>45869</v>
      </c>
      <c r="C5" s="36" t="s">
        <v>349</v>
      </c>
      <c r="D5" s="7" t="s">
        <v>350</v>
      </c>
    </row>
    <row r="6" customFormat="false" ht="23.85" hidden="false" customHeight="false" outlineLevel="0" collapsed="false">
      <c r="B6" s="38" t="n">
        <v>45890</v>
      </c>
      <c r="C6" s="36" t="s">
        <v>351</v>
      </c>
      <c r="D6" s="7" t="s">
        <v>352</v>
      </c>
    </row>
    <row r="7" customFormat="false" ht="15" hidden="false" customHeight="false" outlineLevel="0" collapsed="false">
      <c r="B7" s="38" t="n">
        <v>45907</v>
      </c>
      <c r="C7" s="36" t="s">
        <v>353</v>
      </c>
      <c r="D7" s="7" t="s">
        <v>348</v>
      </c>
    </row>
    <row r="8" customFormat="false" ht="15" hidden="false" customHeight="false" outlineLevel="0" collapsed="false">
      <c r="B8" s="38" t="n">
        <v>45926</v>
      </c>
      <c r="C8" s="36" t="s">
        <v>354</v>
      </c>
      <c r="D8" s="7" t="s">
        <v>355</v>
      </c>
    </row>
    <row r="9" customFormat="false" ht="15" hidden="false" customHeight="false" outlineLevel="0" collapsed="false">
      <c r="B9" s="38" t="n">
        <v>45931</v>
      </c>
      <c r="C9" s="36" t="s">
        <v>356</v>
      </c>
      <c r="D9" s="7" t="s">
        <v>357</v>
      </c>
    </row>
    <row r="10" customFormat="false" ht="15" hidden="false" customHeight="false" outlineLevel="0" collapsed="false">
      <c r="B10" s="38" t="n">
        <v>45956</v>
      </c>
      <c r="C10" s="36" t="s">
        <v>358</v>
      </c>
      <c r="D10" s="7" t="s">
        <v>348</v>
      </c>
    </row>
    <row r="11" customFormat="false" ht="15" hidden="false" customHeight="false" outlineLevel="0" collapsed="false">
      <c r="B11" s="38" t="n">
        <v>45995</v>
      </c>
      <c r="C11" s="36" t="s">
        <v>359</v>
      </c>
      <c r="D11" s="7" t="s">
        <v>350</v>
      </c>
    </row>
    <row r="12" customFormat="false" ht="15" hidden="false" customHeight="false" outlineLevel="0" collapsed="false">
      <c r="B12" s="38" t="n">
        <v>46006</v>
      </c>
      <c r="C12" s="36" t="s">
        <v>360</v>
      </c>
      <c r="D12" s="7" t="s">
        <v>350</v>
      </c>
    </row>
    <row r="13" customFormat="false" ht="45" hidden="false" customHeight="true" outlineLevel="0" collapsed="false">
      <c r="B13" s="38" t="n">
        <v>46022</v>
      </c>
      <c r="C13" s="36" t="s">
        <v>361</v>
      </c>
      <c r="D13" s="7" t="s">
        <v>362</v>
      </c>
    </row>
    <row r="14" customFormat="false" ht="57.45" hidden="false" customHeight="false" outlineLevel="0" collapsed="false">
      <c r="B14" s="39" t="n">
        <v>46023</v>
      </c>
      <c r="C14" s="40" t="s">
        <v>363</v>
      </c>
      <c r="D14" s="27" t="s">
        <v>346</v>
      </c>
    </row>
    <row r="15" customFormat="false" ht="15" hidden="false" customHeight="false" outlineLevel="0" collapsed="false">
      <c r="B15" s="38" t="n">
        <v>46023</v>
      </c>
      <c r="C15" s="9" t="s">
        <v>364</v>
      </c>
      <c r="D15" s="28" t="s">
        <v>365</v>
      </c>
    </row>
    <row r="16" customFormat="false" ht="35.05" hidden="false" customHeight="false" outlineLevel="0" collapsed="false">
      <c r="B16" s="38" t="n">
        <v>46044</v>
      </c>
      <c r="C16" s="9" t="s">
        <v>366</v>
      </c>
      <c r="D16" s="28" t="s">
        <v>367</v>
      </c>
    </row>
    <row r="17" customFormat="false" ht="23.85" hidden="false" customHeight="false" outlineLevel="0" collapsed="false">
      <c r="B17" s="38" t="n">
        <v>46053</v>
      </c>
      <c r="C17" s="36" t="s">
        <v>368</v>
      </c>
      <c r="D17" s="7" t="s">
        <v>369</v>
      </c>
    </row>
    <row r="18" customFormat="false" ht="15" hidden="false" customHeight="false" outlineLevel="0" collapsed="false">
      <c r="B18" s="38" t="s">
        <v>370</v>
      </c>
      <c r="C18" s="36" t="s">
        <v>371</v>
      </c>
      <c r="D18" s="7" t="s">
        <v>369</v>
      </c>
    </row>
    <row r="19" customFormat="false" ht="15" hidden="false" customHeight="false" outlineLevel="0" collapsed="false">
      <c r="B19" s="38" t="n">
        <v>46112</v>
      </c>
      <c r="C19" s="36" t="s">
        <v>372</v>
      </c>
      <c r="D19" s="7" t="s">
        <v>369</v>
      </c>
    </row>
    <row r="20" customFormat="false" ht="23.85" hidden="false" customHeight="false" outlineLevel="0" collapsed="false">
      <c r="B20" s="38" t="s">
        <v>373</v>
      </c>
      <c r="C20" s="36" t="s">
        <v>368</v>
      </c>
      <c r="D20" s="7" t="s">
        <v>369</v>
      </c>
    </row>
    <row r="21" customFormat="false" ht="15" hidden="false" customHeight="false" outlineLevel="0" collapsed="false">
      <c r="B21" s="38" t="n">
        <v>46173</v>
      </c>
      <c r="C21" s="36" t="s">
        <v>374</v>
      </c>
      <c r="D21" s="7" t="s">
        <v>369</v>
      </c>
    </row>
    <row r="22" customFormat="false" ht="35.05" hidden="false" customHeight="false" outlineLevel="0" collapsed="false">
      <c r="B22" s="38" t="n">
        <v>46143</v>
      </c>
      <c r="C22" s="36" t="s">
        <v>375</v>
      </c>
      <c r="D22" s="28" t="s">
        <v>367</v>
      </c>
    </row>
    <row r="23" customFormat="false" ht="15" hidden="false" customHeight="false" outlineLevel="0" collapsed="false">
      <c r="B23" s="38" t="s">
        <v>376</v>
      </c>
      <c r="C23" s="36" t="s">
        <v>372</v>
      </c>
      <c r="D23" s="7" t="s">
        <v>369</v>
      </c>
    </row>
    <row r="24" customFormat="false" ht="23.85" hidden="false" customHeight="false" outlineLevel="0" collapsed="false">
      <c r="B24" s="38" t="n">
        <v>46234</v>
      </c>
      <c r="C24" s="36" t="s">
        <v>368</v>
      </c>
      <c r="D24" s="7" t="s">
        <v>369</v>
      </c>
    </row>
    <row r="25" customFormat="false" ht="15" hidden="false" customHeight="false" outlineLevel="0" collapsed="false">
      <c r="B25" s="38" t="n">
        <v>46265</v>
      </c>
      <c r="C25" s="36" t="s">
        <v>374</v>
      </c>
      <c r="D25" s="7" t="s">
        <v>369</v>
      </c>
    </row>
    <row r="26" customFormat="false" ht="15" hidden="false" customHeight="false" outlineLevel="0" collapsed="false">
      <c r="B26" s="38" t="s">
        <v>377</v>
      </c>
      <c r="C26" s="36" t="s">
        <v>372</v>
      </c>
      <c r="D26" s="7" t="s">
        <v>369</v>
      </c>
    </row>
    <row r="27" customFormat="false" ht="23.85" hidden="false" customHeight="false" outlineLevel="0" collapsed="false">
      <c r="B27" s="38" t="n">
        <v>46326</v>
      </c>
      <c r="C27" s="36" t="s">
        <v>368</v>
      </c>
      <c r="D27" s="7" t="s">
        <v>369</v>
      </c>
    </row>
    <row r="28" customFormat="false" ht="15" hidden="false" customHeight="false" outlineLevel="0" collapsed="false">
      <c r="B28" s="38" t="n">
        <v>46299</v>
      </c>
      <c r="C28" s="36" t="s">
        <v>378</v>
      </c>
      <c r="D28" s="7" t="s">
        <v>379</v>
      </c>
    </row>
    <row r="29" customFormat="false" ht="15" hidden="false" customHeight="false" outlineLevel="0" collapsed="false">
      <c r="B29" s="38" t="n">
        <v>46320</v>
      </c>
      <c r="C29" s="36" t="s">
        <v>380</v>
      </c>
      <c r="D29" s="7" t="s">
        <v>379</v>
      </c>
    </row>
    <row r="30" customFormat="false" ht="15" hidden="false" customHeight="false" outlineLevel="0" collapsed="false">
      <c r="B30" s="38" t="n">
        <v>46327</v>
      </c>
      <c r="C30" s="36" t="s">
        <v>381</v>
      </c>
      <c r="D30" s="28" t="s">
        <v>367</v>
      </c>
    </row>
    <row r="31" customFormat="false" ht="15" hidden="false" customHeight="false" outlineLevel="0" collapsed="false">
      <c r="B31" s="38" t="s">
        <v>382</v>
      </c>
      <c r="C31" s="36" t="s">
        <v>374</v>
      </c>
      <c r="D31" s="7" t="s">
        <v>369</v>
      </c>
    </row>
    <row r="32" customFormat="false" ht="15" hidden="false" customHeight="false" outlineLevel="0" collapsed="false">
      <c r="B32" s="38" t="n">
        <v>46387</v>
      </c>
      <c r="C32" s="36" t="s">
        <v>372</v>
      </c>
      <c r="D32" s="7" t="s">
        <v>369</v>
      </c>
    </row>
    <row r="33" customFormat="false" ht="15" hidden="false" customHeight="false" outlineLevel="0" collapsed="false">
      <c r="F33" s="41"/>
      <c r="G33" s="41"/>
    </row>
    <row r="36" customFormat="false" ht="15" hidden="false" customHeight="false" outlineLevel="0" collapsed="false">
      <c r="B36" s="12" t="s">
        <v>383</v>
      </c>
    </row>
    <row r="37" customFormat="false" ht="15" hidden="false" customHeight="false" outlineLevel="0" collapsed="false">
      <c r="B37" s="7" t="s">
        <v>384</v>
      </c>
    </row>
    <row r="39" customFormat="false" ht="15" hidden="false" customHeight="false" outlineLevel="0" collapsed="false">
      <c r="B39" s="42" t="s">
        <v>385</v>
      </c>
      <c r="C39" s="43" t="s">
        <v>386</v>
      </c>
      <c r="D39" s="28"/>
      <c r="E39" s="44"/>
      <c r="F39" s="45"/>
      <c r="G39" s="28"/>
    </row>
    <row r="40" customFormat="false" ht="15" hidden="false" customHeight="false" outlineLevel="0" collapsed="false">
      <c r="B40" s="46" t="s">
        <v>387</v>
      </c>
      <c r="C40" s="47" t="s">
        <v>388</v>
      </c>
      <c r="D40" s="28"/>
      <c r="E40" s="44"/>
      <c r="F40" s="41"/>
      <c r="G40" s="28"/>
    </row>
    <row r="41" customFormat="false" ht="15" hidden="false" customHeight="false" outlineLevel="0" collapsed="false">
      <c r="B41" s="46" t="s">
        <v>389</v>
      </c>
      <c r="C41" s="47" t="s">
        <v>390</v>
      </c>
      <c r="D41" s="28"/>
      <c r="E41" s="44"/>
      <c r="F41" s="41"/>
      <c r="G41" s="28"/>
    </row>
    <row r="42" customFormat="false" ht="15" hidden="false" customHeight="false" outlineLevel="0" collapsed="false">
      <c r="B42" s="46" t="s">
        <v>391</v>
      </c>
      <c r="C42" s="47" t="s">
        <v>392</v>
      </c>
      <c r="D42" s="28"/>
      <c r="E42" s="2"/>
      <c r="F42" s="41"/>
      <c r="G42" s="28"/>
    </row>
    <row r="43" customFormat="false" ht="15" hidden="false" customHeight="false" outlineLevel="0" collapsed="false">
      <c r="B43" s="46" t="s">
        <v>393</v>
      </c>
      <c r="C43" s="47" t="s">
        <v>394</v>
      </c>
      <c r="E43" s="48"/>
      <c r="F43" s="35"/>
      <c r="G43" s="28"/>
    </row>
    <row r="44" customFormat="false" ht="15" hidden="false" customHeight="false" outlineLevel="0" collapsed="false">
      <c r="B44" s="46" t="s">
        <v>395</v>
      </c>
      <c r="C44" s="47" t="s">
        <v>390</v>
      </c>
      <c r="E44" s="48"/>
      <c r="F44" s="35"/>
      <c r="G44" s="28"/>
    </row>
    <row r="45" customFormat="false" ht="15" hidden="false" customHeight="false" outlineLevel="0" collapsed="false">
      <c r="B45" s="46" t="s">
        <v>396</v>
      </c>
      <c r="C45" s="47" t="s">
        <v>397</v>
      </c>
      <c r="E45" s="48"/>
      <c r="F45" s="35"/>
      <c r="G45" s="28"/>
    </row>
    <row r="46" customFormat="false" ht="15" hidden="false" customHeight="false" outlineLevel="0" collapsed="false">
      <c r="E46" s="48"/>
      <c r="F46" s="35"/>
      <c r="G46" s="28"/>
    </row>
    <row r="47" customFormat="false" ht="15" hidden="false" customHeight="false" outlineLevel="0" collapsed="false">
      <c r="E47" s="48"/>
      <c r="F47" s="35"/>
      <c r="G47" s="28"/>
    </row>
    <row r="48" customFormat="false" ht="15" hidden="false" customHeight="false" outlineLevel="0" collapsed="false">
      <c r="E48" s="48"/>
      <c r="F48" s="35"/>
      <c r="G48" s="28"/>
    </row>
    <row r="50" customFormat="false" ht="15" hidden="false" customHeight="false" outlineLevel="0" collapsed="false">
      <c r="B50" s="7" t="s">
        <v>398</v>
      </c>
    </row>
    <row r="51" customFormat="false" ht="15" hidden="false" customHeight="false" outlineLevel="0" collapsed="false">
      <c r="B51" s="7" t="s">
        <v>399</v>
      </c>
    </row>
    <row r="52" customFormat="false" ht="15" hidden="false" customHeight="false" outlineLevel="0" collapsed="false">
      <c r="B52" s="7" t="s">
        <v>400</v>
      </c>
    </row>
    <row r="53" customFormat="false" ht="15" hidden="false" customHeight="false" outlineLevel="0" collapsed="false">
      <c r="B53" s="7" t="s">
        <v>401</v>
      </c>
    </row>
    <row r="54" customFormat="false" ht="15" hidden="false" customHeight="false" outlineLevel="0" collapsed="false">
      <c r="B54" s="28" t="s">
        <v>402</v>
      </c>
    </row>
    <row r="55" customFormat="false" ht="15" hidden="false" customHeight="false" outlineLevel="0" collapsed="false">
      <c r="B55" s="28" t="s">
        <v>403</v>
      </c>
    </row>
    <row r="56" customFormat="false" ht="15" hidden="false" customHeight="false" outlineLevel="0" collapsed="false">
      <c r="B56" s="28" t="s">
        <v>404</v>
      </c>
      <c r="C56" s="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8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40" activeCellId="0" sqref="D40"/>
    </sheetView>
  </sheetViews>
  <sheetFormatPr defaultColWidth="10.6796875" defaultRowHeight="15" customHeight="true" zeroHeight="false" outlineLevelRow="0" outlineLevelCol="0"/>
  <cols>
    <col collapsed="false" customWidth="true" hidden="false" outlineLevel="0" max="1" min="1" style="7" width="8.86"/>
    <col collapsed="false" customWidth="true" hidden="false" outlineLevel="0" max="2" min="2" style="7" width="12.86"/>
    <col collapsed="false" customWidth="true" hidden="false" outlineLevel="0" max="3" min="3" style="7" width="13.15"/>
    <col collapsed="false" customWidth="true" hidden="false" outlineLevel="0" max="4" min="4" style="7" width="19.29"/>
  </cols>
  <sheetData>
    <row r="1" customFormat="false" ht="15" hidden="false" customHeight="false" outlineLevel="0" collapsed="false">
      <c r="A1" s="28" t="s">
        <v>17</v>
      </c>
      <c r="B1" s="28" t="s">
        <v>405</v>
      </c>
      <c r="C1" s="28" t="s">
        <v>406</v>
      </c>
      <c r="D1" s="28" t="s">
        <v>407</v>
      </c>
    </row>
    <row r="2" customFormat="false" ht="15" hidden="false" customHeight="false" outlineLevel="0" collapsed="false">
      <c r="A2" s="7" t="s">
        <v>104</v>
      </c>
      <c r="B2" s="7" t="s">
        <v>408</v>
      </c>
      <c r="C2" s="7" t="s">
        <v>409</v>
      </c>
      <c r="D2" s="7" t="s">
        <v>410</v>
      </c>
    </row>
    <row r="3" customFormat="false" ht="15" hidden="false" customHeight="false" outlineLevel="0" collapsed="false">
      <c r="A3" s="7" t="s">
        <v>411</v>
      </c>
      <c r="B3" s="7" t="s">
        <v>412</v>
      </c>
      <c r="C3" s="7" t="s">
        <v>409</v>
      </c>
      <c r="D3" s="7" t="s">
        <v>413</v>
      </c>
    </row>
    <row r="4" customFormat="false" ht="15" hidden="false" customHeight="false" outlineLevel="0" collapsed="false">
      <c r="A4" s="7" t="s">
        <v>172</v>
      </c>
      <c r="B4" s="7" t="s">
        <v>408</v>
      </c>
      <c r="C4" s="7" t="s">
        <v>409</v>
      </c>
      <c r="D4" s="7" t="s">
        <v>414</v>
      </c>
    </row>
    <row r="5" customFormat="false" ht="15" hidden="false" customHeight="false" outlineLevel="0" collapsed="false">
      <c r="A5" s="7" t="s">
        <v>238</v>
      </c>
      <c r="B5" s="7" t="s">
        <v>408</v>
      </c>
      <c r="C5" s="7" t="s">
        <v>409</v>
      </c>
      <c r="D5" s="7" t="s">
        <v>415</v>
      </c>
    </row>
    <row r="6" customFormat="false" ht="15" hidden="false" customHeight="false" outlineLevel="0" collapsed="false">
      <c r="A6" s="7" t="s">
        <v>126</v>
      </c>
      <c r="B6" s="7" t="s">
        <v>408</v>
      </c>
      <c r="C6" s="7" t="s">
        <v>409</v>
      </c>
      <c r="D6" s="7" t="s">
        <v>416</v>
      </c>
    </row>
    <row r="7" customFormat="false" ht="15" hidden="false" customHeight="false" outlineLevel="0" collapsed="false">
      <c r="A7" s="7" t="s">
        <v>154</v>
      </c>
      <c r="B7" s="7" t="s">
        <v>408</v>
      </c>
      <c r="C7" s="7" t="s">
        <v>409</v>
      </c>
      <c r="D7" s="7" t="s">
        <v>417</v>
      </c>
    </row>
    <row r="8" customFormat="false" ht="15" hidden="false" customHeight="false" outlineLevel="0" collapsed="false">
      <c r="A8" s="7" t="s">
        <v>418</v>
      </c>
      <c r="B8" s="7" t="s">
        <v>412</v>
      </c>
      <c r="C8" s="7" t="s">
        <v>409</v>
      </c>
      <c r="D8" s="7" t="s">
        <v>419</v>
      </c>
    </row>
    <row r="9" customFormat="false" ht="15" hidden="false" customHeight="false" outlineLevel="0" collapsed="false">
      <c r="A9" s="7" t="s">
        <v>418</v>
      </c>
      <c r="B9" s="7" t="s">
        <v>408</v>
      </c>
      <c r="C9" s="7" t="s">
        <v>409</v>
      </c>
      <c r="D9" s="7" t="s">
        <v>419</v>
      </c>
    </row>
    <row r="10" customFormat="false" ht="15" hidden="false" customHeight="false" outlineLevel="0" collapsed="false">
      <c r="A10" s="7" t="s">
        <v>137</v>
      </c>
      <c r="B10" s="7" t="s">
        <v>408</v>
      </c>
      <c r="C10" s="7" t="s">
        <v>409</v>
      </c>
      <c r="D10" s="7" t="s">
        <v>420</v>
      </c>
    </row>
    <row r="11" customFormat="false" ht="15" hidden="false" customHeight="false" outlineLevel="0" collapsed="false">
      <c r="A11" s="7" t="s">
        <v>122</v>
      </c>
      <c r="B11" s="7" t="s">
        <v>408</v>
      </c>
      <c r="C11" s="7" t="s">
        <v>409</v>
      </c>
      <c r="D11" s="7" t="s">
        <v>420</v>
      </c>
    </row>
    <row r="12" customFormat="false" ht="15" hidden="false" customHeight="false" outlineLevel="0" collapsed="false">
      <c r="A12" s="7" t="s">
        <v>190</v>
      </c>
      <c r="B12" s="7" t="s">
        <v>408</v>
      </c>
      <c r="C12" s="7" t="s">
        <v>409</v>
      </c>
      <c r="D12" s="7" t="s">
        <v>421</v>
      </c>
    </row>
    <row r="13" customFormat="false" ht="15" hidden="false" customHeight="false" outlineLevel="0" collapsed="false">
      <c r="A13" s="7" t="s">
        <v>124</v>
      </c>
      <c r="B13" s="7" t="s">
        <v>408</v>
      </c>
      <c r="C13" s="7" t="s">
        <v>409</v>
      </c>
      <c r="D13" s="7" t="s">
        <v>422</v>
      </c>
    </row>
    <row r="14" customFormat="false" ht="15" hidden="false" customHeight="false" outlineLevel="0" collapsed="false">
      <c r="A14" s="7" t="s">
        <v>230</v>
      </c>
      <c r="B14" s="7" t="s">
        <v>408</v>
      </c>
      <c r="C14" s="7" t="s">
        <v>409</v>
      </c>
      <c r="D14" s="7" t="s">
        <v>423</v>
      </c>
    </row>
    <row r="15" customFormat="false" ht="15" hidden="false" customHeight="false" outlineLevel="0" collapsed="false">
      <c r="A15" s="7" t="s">
        <v>20</v>
      </c>
      <c r="B15" s="7" t="s">
        <v>408</v>
      </c>
      <c r="C15" s="7" t="s">
        <v>409</v>
      </c>
      <c r="D15" s="7" t="s">
        <v>424</v>
      </c>
    </row>
    <row r="16" customFormat="false" ht="15" hidden="false" customHeight="false" outlineLevel="0" collapsed="false">
      <c r="A16" s="7" t="s">
        <v>132</v>
      </c>
      <c r="B16" s="7" t="s">
        <v>408</v>
      </c>
      <c r="C16" s="7" t="s">
        <v>409</v>
      </c>
      <c r="D16" s="7" t="s">
        <v>425</v>
      </c>
    </row>
    <row r="17" customFormat="false" ht="15" hidden="false" customHeight="false" outlineLevel="0" collapsed="false">
      <c r="A17" s="7" t="s">
        <v>48</v>
      </c>
      <c r="B17" s="7" t="s">
        <v>408</v>
      </c>
      <c r="C17" s="7" t="s">
        <v>409</v>
      </c>
      <c r="D17" s="7" t="s">
        <v>426</v>
      </c>
    </row>
    <row r="18" customFormat="false" ht="15" hidden="false" customHeight="false" outlineLevel="0" collapsed="false">
      <c r="A18" s="7" t="s">
        <v>178</v>
      </c>
      <c r="B18" s="7" t="s">
        <v>408</v>
      </c>
      <c r="C18" s="7" t="s">
        <v>409</v>
      </c>
      <c r="D18" s="7" t="s">
        <v>426</v>
      </c>
    </row>
    <row r="19" customFormat="false" ht="15" hidden="false" customHeight="false" outlineLevel="0" collapsed="false">
      <c r="A19" s="7" t="s">
        <v>225</v>
      </c>
      <c r="B19" s="7" t="s">
        <v>408</v>
      </c>
      <c r="C19" s="7" t="s">
        <v>409</v>
      </c>
      <c r="D19" s="7" t="s">
        <v>427</v>
      </c>
    </row>
    <row r="20" customFormat="false" ht="15" hidden="false" customHeight="false" outlineLevel="0" collapsed="false">
      <c r="A20" s="7" t="s">
        <v>176</v>
      </c>
      <c r="B20" s="7" t="s">
        <v>408</v>
      </c>
      <c r="C20" s="7" t="s">
        <v>409</v>
      </c>
      <c r="D20" s="7" t="s">
        <v>427</v>
      </c>
    </row>
    <row r="21" customFormat="false" ht="15" hidden="false" customHeight="false" outlineLevel="0" collapsed="false">
      <c r="A21" s="7" t="s">
        <v>428</v>
      </c>
      <c r="B21" s="7" t="s">
        <v>408</v>
      </c>
      <c r="C21" s="7" t="s">
        <v>409</v>
      </c>
      <c r="D21" s="7" t="s">
        <v>429</v>
      </c>
    </row>
    <row r="22" customFormat="false" ht="15" hidden="false" customHeight="false" outlineLevel="0" collapsed="false">
      <c r="A22" s="7" t="s">
        <v>180</v>
      </c>
      <c r="B22" s="7" t="s">
        <v>408</v>
      </c>
      <c r="C22" s="7" t="s">
        <v>409</v>
      </c>
      <c r="D22" s="7" t="s">
        <v>430</v>
      </c>
    </row>
    <row r="23" customFormat="false" ht="15" hidden="false" customHeight="false" outlineLevel="0" collapsed="false">
      <c r="A23" s="7" t="s">
        <v>79</v>
      </c>
      <c r="B23" s="7" t="s">
        <v>408</v>
      </c>
      <c r="C23" s="7" t="s">
        <v>409</v>
      </c>
      <c r="D23" s="7" t="s">
        <v>431</v>
      </c>
    </row>
    <row r="24" customFormat="false" ht="15" hidden="false" customHeight="false" outlineLevel="0" collapsed="false">
      <c r="A24" s="7" t="s">
        <v>432</v>
      </c>
      <c r="B24" s="7" t="s">
        <v>408</v>
      </c>
      <c r="C24" s="7" t="s">
        <v>409</v>
      </c>
      <c r="D24" s="7" t="s">
        <v>433</v>
      </c>
    </row>
    <row r="25" customFormat="false" ht="15" hidden="false" customHeight="false" outlineLevel="0" collapsed="false">
      <c r="A25" s="7" t="s">
        <v>182</v>
      </c>
      <c r="B25" s="7" t="s">
        <v>408</v>
      </c>
      <c r="C25" s="7" t="s">
        <v>409</v>
      </c>
      <c r="D25" s="7" t="s">
        <v>433</v>
      </c>
    </row>
    <row r="26" customFormat="false" ht="15" hidden="false" customHeight="false" outlineLevel="0" collapsed="false">
      <c r="A26" s="7" t="s">
        <v>81</v>
      </c>
      <c r="B26" s="7" t="s">
        <v>408</v>
      </c>
      <c r="C26" s="7" t="s">
        <v>409</v>
      </c>
      <c r="D26" s="7" t="s">
        <v>434</v>
      </c>
    </row>
    <row r="27" customFormat="false" ht="15" hidden="false" customHeight="false" outlineLevel="0" collapsed="false">
      <c r="A27" s="7" t="s">
        <v>435</v>
      </c>
      <c r="B27" s="7" t="s">
        <v>408</v>
      </c>
      <c r="C27" s="7" t="s">
        <v>409</v>
      </c>
      <c r="D27" s="7" t="s">
        <v>436</v>
      </c>
    </row>
    <row r="28" customFormat="false" ht="15" hidden="false" customHeight="false" outlineLevel="0" collapsed="false">
      <c r="A28" s="7" t="s">
        <v>114</v>
      </c>
      <c r="B28" s="7" t="s">
        <v>408</v>
      </c>
      <c r="C28" s="7" t="s">
        <v>409</v>
      </c>
      <c r="D28" s="7" t="s">
        <v>437</v>
      </c>
    </row>
    <row r="29" customFormat="false" ht="15" hidden="false" customHeight="false" outlineLevel="0" collapsed="false">
      <c r="A29" s="7" t="s">
        <v>54</v>
      </c>
      <c r="B29" s="7" t="s">
        <v>408</v>
      </c>
      <c r="C29" s="7" t="s">
        <v>409</v>
      </c>
      <c r="D29" s="7" t="s">
        <v>438</v>
      </c>
    </row>
    <row r="30" customFormat="false" ht="15" hidden="false" customHeight="false" outlineLevel="0" collapsed="false">
      <c r="A30" s="7" t="s">
        <v>236</v>
      </c>
      <c r="B30" s="7" t="s">
        <v>408</v>
      </c>
      <c r="C30" s="7" t="s">
        <v>409</v>
      </c>
      <c r="D30" s="7" t="s">
        <v>439</v>
      </c>
    </row>
    <row r="31" customFormat="false" ht="15" hidden="false" customHeight="false" outlineLevel="0" collapsed="false">
      <c r="A31" s="7" t="s">
        <v>440</v>
      </c>
      <c r="B31" s="7" t="s">
        <v>408</v>
      </c>
      <c r="C31" s="7" t="s">
        <v>409</v>
      </c>
      <c r="D31" s="7" t="s">
        <v>441</v>
      </c>
    </row>
    <row r="32" customFormat="false" ht="15" hidden="false" customHeight="false" outlineLevel="0" collapsed="false">
      <c r="A32" s="7" t="s">
        <v>442</v>
      </c>
      <c r="B32" s="7" t="s">
        <v>408</v>
      </c>
      <c r="C32" s="7" t="s">
        <v>409</v>
      </c>
      <c r="D32" s="7" t="s">
        <v>441</v>
      </c>
    </row>
    <row r="33" customFormat="false" ht="15" hidden="false" customHeight="false" outlineLevel="0" collapsed="false">
      <c r="A33" s="7" t="s">
        <v>223</v>
      </c>
      <c r="B33" s="7" t="s">
        <v>408</v>
      </c>
      <c r="C33" s="7" t="s">
        <v>409</v>
      </c>
      <c r="D33" s="7" t="s">
        <v>443</v>
      </c>
    </row>
    <row r="34" customFormat="false" ht="15" hidden="false" customHeight="false" outlineLevel="0" collapsed="false">
      <c r="A34" s="7" t="s">
        <v>2</v>
      </c>
      <c r="B34" s="7" t="s">
        <v>408</v>
      </c>
      <c r="C34" s="7" t="s">
        <v>409</v>
      </c>
      <c r="D34" s="7" t="s">
        <v>444</v>
      </c>
    </row>
    <row r="35" customFormat="false" ht="15" hidden="false" customHeight="false" outlineLevel="0" collapsed="false">
      <c r="A35" s="7" t="s">
        <v>130</v>
      </c>
      <c r="B35" s="7" t="s">
        <v>408</v>
      </c>
      <c r="C35" s="7" t="s">
        <v>409</v>
      </c>
      <c r="D35" s="7" t="s">
        <v>445</v>
      </c>
    </row>
    <row r="36" customFormat="false" ht="15" hidden="false" customHeight="false" outlineLevel="0" collapsed="false">
      <c r="A36" s="7" t="s">
        <v>196</v>
      </c>
      <c r="B36" s="7" t="s">
        <v>408</v>
      </c>
      <c r="C36" s="7" t="s">
        <v>409</v>
      </c>
      <c r="D36" s="7" t="s">
        <v>446</v>
      </c>
    </row>
    <row r="37" customFormat="false" ht="15" hidden="false" customHeight="false" outlineLevel="0" collapsed="false">
      <c r="A37" s="7" t="s">
        <v>22</v>
      </c>
      <c r="B37" s="7" t="s">
        <v>408</v>
      </c>
      <c r="C37" s="7" t="s">
        <v>409</v>
      </c>
      <c r="D37" s="7" t="s">
        <v>447</v>
      </c>
    </row>
    <row r="38" customFormat="false" ht="15" hidden="false" customHeight="false" outlineLevel="0" collapsed="false">
      <c r="A38" s="7" t="s">
        <v>13</v>
      </c>
      <c r="B38" s="7" t="s">
        <v>408</v>
      </c>
      <c r="C38" s="7" t="s">
        <v>409</v>
      </c>
      <c r="D38" s="7" t="s">
        <v>447</v>
      </c>
    </row>
    <row r="39" customFormat="false" ht="15" hidden="false" customHeight="false" outlineLevel="0" collapsed="false">
      <c r="A39" s="7" t="s">
        <v>71</v>
      </c>
      <c r="B39" s="7" t="s">
        <v>408</v>
      </c>
      <c r="C39" s="7" t="s">
        <v>409</v>
      </c>
      <c r="D39" s="7" t="s">
        <v>448</v>
      </c>
    </row>
    <row r="40" customFormat="false" ht="15" hidden="false" customHeight="false" outlineLevel="0" collapsed="false">
      <c r="A40" s="7" t="s">
        <v>6</v>
      </c>
      <c r="B40" s="7" t="s">
        <v>408</v>
      </c>
      <c r="C40" s="7" t="s">
        <v>409</v>
      </c>
      <c r="D40" s="7" t="s">
        <v>449</v>
      </c>
    </row>
    <row r="41" customFormat="false" ht="15" hidden="false" customHeight="false" outlineLevel="0" collapsed="false">
      <c r="A41" s="7" t="s">
        <v>450</v>
      </c>
      <c r="B41" s="7" t="s">
        <v>412</v>
      </c>
      <c r="C41" s="7" t="s">
        <v>409</v>
      </c>
      <c r="D41" s="7" t="s">
        <v>451</v>
      </c>
    </row>
    <row r="42" customFormat="false" ht="15" hidden="false" customHeight="false" outlineLevel="0" collapsed="false">
      <c r="A42" s="7" t="s">
        <v>452</v>
      </c>
      <c r="B42" s="7" t="s">
        <v>408</v>
      </c>
      <c r="C42" s="7" t="s">
        <v>409</v>
      </c>
      <c r="D42" s="7" t="s">
        <v>453</v>
      </c>
    </row>
    <row r="43" customFormat="false" ht="15" hidden="false" customHeight="false" outlineLevel="0" collapsed="false">
      <c r="A43" s="7" t="s">
        <v>454</v>
      </c>
      <c r="B43" s="7" t="s">
        <v>408</v>
      </c>
      <c r="C43" s="7" t="s">
        <v>409</v>
      </c>
      <c r="D43" s="7" t="s">
        <v>455</v>
      </c>
    </row>
    <row r="44" customFormat="false" ht="15" hidden="false" customHeight="false" outlineLevel="0" collapsed="false">
      <c r="A44" s="7" t="s">
        <v>89</v>
      </c>
      <c r="B44" s="7" t="s">
        <v>408</v>
      </c>
      <c r="C44" s="7" t="s">
        <v>409</v>
      </c>
      <c r="D44" s="7" t="s">
        <v>456</v>
      </c>
    </row>
    <row r="45" customFormat="false" ht="15" hidden="false" customHeight="false" outlineLevel="0" collapsed="false">
      <c r="A45" s="7" t="s">
        <v>457</v>
      </c>
      <c r="B45" s="7" t="s">
        <v>408</v>
      </c>
      <c r="C45" s="7" t="s">
        <v>409</v>
      </c>
      <c r="D45" s="7" t="s">
        <v>458</v>
      </c>
    </row>
    <row r="46" customFormat="false" ht="15" hidden="false" customHeight="false" outlineLevel="0" collapsed="false">
      <c r="A46" s="7" t="s">
        <v>12</v>
      </c>
      <c r="B46" s="7" t="s">
        <v>408</v>
      </c>
      <c r="C46" s="7" t="s">
        <v>409</v>
      </c>
      <c r="D46" s="7" t="s">
        <v>458</v>
      </c>
    </row>
    <row r="47" customFormat="false" ht="15" hidden="false" customHeight="false" outlineLevel="0" collapsed="false">
      <c r="A47" s="7" t="s">
        <v>459</v>
      </c>
      <c r="B47" s="7" t="s">
        <v>408</v>
      </c>
      <c r="C47" s="7" t="s">
        <v>409</v>
      </c>
      <c r="D47" s="7" t="s">
        <v>460</v>
      </c>
    </row>
    <row r="48" customFormat="false" ht="15" hidden="false" customHeight="false" outlineLevel="0" collapsed="false">
      <c r="A48" s="7" t="s">
        <v>91</v>
      </c>
      <c r="B48" s="7" t="s">
        <v>412</v>
      </c>
      <c r="C48" s="7" t="s">
        <v>409</v>
      </c>
      <c r="D48" s="7" t="s">
        <v>461</v>
      </c>
    </row>
    <row r="49" customFormat="false" ht="15" hidden="false" customHeight="false" outlineLevel="0" collapsed="false">
      <c r="A49" s="7" t="s">
        <v>91</v>
      </c>
      <c r="B49" s="7" t="s">
        <v>408</v>
      </c>
      <c r="C49" s="7" t="s">
        <v>409</v>
      </c>
      <c r="D49" s="7" t="s">
        <v>461</v>
      </c>
    </row>
    <row r="50" customFormat="false" ht="15" hidden="false" customHeight="false" outlineLevel="0" collapsed="false">
      <c r="A50" s="7" t="s">
        <v>240</v>
      </c>
      <c r="B50" s="7" t="s">
        <v>408</v>
      </c>
      <c r="C50" s="7" t="s">
        <v>409</v>
      </c>
      <c r="D50" s="7" t="s">
        <v>462</v>
      </c>
    </row>
    <row r="51" customFormat="false" ht="15" hidden="false" customHeight="false" outlineLevel="0" collapsed="false">
      <c r="A51" s="7" t="s">
        <v>463</v>
      </c>
      <c r="B51" s="7" t="s">
        <v>464</v>
      </c>
      <c r="C51" s="7" t="s">
        <v>463</v>
      </c>
      <c r="D51" s="7" t="s">
        <v>462</v>
      </c>
    </row>
    <row r="52" customFormat="false" ht="15" hidden="false" customHeight="false" outlineLevel="0" collapsed="false">
      <c r="A52" s="7" t="s">
        <v>465</v>
      </c>
      <c r="B52" s="7" t="s">
        <v>408</v>
      </c>
      <c r="C52" s="7" t="s">
        <v>409</v>
      </c>
      <c r="D52" s="7" t="s">
        <v>466</v>
      </c>
    </row>
    <row r="53" customFormat="false" ht="15" hidden="false" customHeight="false" outlineLevel="0" collapsed="false">
      <c r="A53" s="7" t="s">
        <v>95</v>
      </c>
      <c r="B53" s="7" t="s">
        <v>408</v>
      </c>
      <c r="C53" s="7" t="s">
        <v>409</v>
      </c>
      <c r="D53" s="7" t="s">
        <v>467</v>
      </c>
    </row>
    <row r="54" customFormat="false" ht="15" hidden="false" customHeight="false" outlineLevel="0" collapsed="false">
      <c r="A54" s="7" t="s">
        <v>160</v>
      </c>
      <c r="B54" s="7" t="s">
        <v>408</v>
      </c>
      <c r="C54" s="7" t="s">
        <v>409</v>
      </c>
      <c r="D54" s="7" t="s">
        <v>467</v>
      </c>
    </row>
    <row r="55" customFormat="false" ht="15" hidden="false" customHeight="false" outlineLevel="0" collapsed="false">
      <c r="A55" s="7" t="s">
        <v>145</v>
      </c>
      <c r="B55" s="7" t="s">
        <v>408</v>
      </c>
      <c r="C55" s="7" t="s">
        <v>409</v>
      </c>
      <c r="D55" s="7" t="s">
        <v>468</v>
      </c>
    </row>
    <row r="56" customFormat="false" ht="15" hidden="false" customHeight="false" outlineLevel="0" collapsed="false">
      <c r="A56" s="7" t="s">
        <v>242</v>
      </c>
      <c r="B56" s="7" t="s">
        <v>408</v>
      </c>
      <c r="C56" s="7" t="s">
        <v>409</v>
      </c>
      <c r="D56" s="7" t="s">
        <v>469</v>
      </c>
    </row>
    <row r="57" customFormat="false" ht="15" hidden="false" customHeight="false" outlineLevel="0" collapsed="false">
      <c r="A57" s="7" t="s">
        <v>16</v>
      </c>
      <c r="B57" s="7" t="s">
        <v>408</v>
      </c>
      <c r="C57" s="7" t="s">
        <v>409</v>
      </c>
      <c r="D57" s="7" t="s">
        <v>470</v>
      </c>
    </row>
    <row r="58" customFormat="false" ht="15" hidden="false" customHeight="false" outlineLevel="0" collapsed="false">
      <c r="A58" s="7" t="s">
        <v>8</v>
      </c>
      <c r="B58" s="7" t="s">
        <v>408</v>
      </c>
      <c r="C58" s="7" t="s">
        <v>409</v>
      </c>
      <c r="D58" s="7" t="s">
        <v>470</v>
      </c>
    </row>
    <row r="59" customFormat="false" ht="15" hidden="false" customHeight="false" outlineLevel="0" collapsed="false">
      <c r="A59" s="7" t="s">
        <v>101</v>
      </c>
      <c r="B59" s="7" t="s">
        <v>408</v>
      </c>
      <c r="C59" s="7" t="s">
        <v>409</v>
      </c>
      <c r="D59" s="7" t="s">
        <v>471</v>
      </c>
    </row>
    <row r="60" customFormat="false" ht="15" hidden="false" customHeight="false" outlineLevel="0" collapsed="false">
      <c r="A60" s="7" t="s">
        <v>156</v>
      </c>
      <c r="B60" s="7" t="s">
        <v>408</v>
      </c>
      <c r="C60" s="7" t="s">
        <v>409</v>
      </c>
      <c r="D60" s="7" t="s">
        <v>472</v>
      </c>
    </row>
    <row r="61" customFormat="false" ht="15" hidden="false" customHeight="false" outlineLevel="0" collapsed="false">
      <c r="A61" s="7" t="s">
        <v>473</v>
      </c>
      <c r="B61" s="7" t="s">
        <v>408</v>
      </c>
      <c r="C61" s="7" t="s">
        <v>409</v>
      </c>
      <c r="D61" s="7" t="s">
        <v>474</v>
      </c>
    </row>
    <row r="62" customFormat="false" ht="15" hidden="false" customHeight="false" outlineLevel="0" collapsed="false">
      <c r="A62" s="7" t="s">
        <v>234</v>
      </c>
      <c r="B62" s="7" t="s">
        <v>408</v>
      </c>
      <c r="C62" s="7" t="s">
        <v>409</v>
      </c>
      <c r="D62" s="7" t="s">
        <v>475</v>
      </c>
    </row>
    <row r="63" customFormat="false" ht="15" hidden="false" customHeight="false" outlineLevel="0" collapsed="false">
      <c r="A63" s="7" t="s">
        <v>14</v>
      </c>
      <c r="B63" s="7" t="s">
        <v>408</v>
      </c>
      <c r="C63" s="7" t="s">
        <v>409</v>
      </c>
      <c r="D63" s="7" t="s">
        <v>475</v>
      </c>
    </row>
    <row r="64" customFormat="false" ht="15" hidden="false" customHeight="false" outlineLevel="0" collapsed="false">
      <c r="A64" s="7" t="s">
        <v>3</v>
      </c>
      <c r="B64" s="7" t="s">
        <v>408</v>
      </c>
      <c r="C64" s="7" t="s">
        <v>409</v>
      </c>
      <c r="D64" s="7" t="s">
        <v>476</v>
      </c>
    </row>
    <row r="65" customFormat="false" ht="15" hidden="false" customHeight="false" outlineLevel="0" collapsed="false">
      <c r="A65" s="7" t="s">
        <v>116</v>
      </c>
      <c r="B65" s="7" t="s">
        <v>408</v>
      </c>
      <c r="C65" s="7" t="s">
        <v>409</v>
      </c>
      <c r="D65" s="7" t="s">
        <v>476</v>
      </c>
    </row>
    <row r="66" customFormat="false" ht="15" hidden="false" customHeight="false" outlineLevel="0" collapsed="false">
      <c r="A66" s="7" t="s">
        <v>477</v>
      </c>
      <c r="B66" s="7" t="s">
        <v>408</v>
      </c>
      <c r="C66" s="7" t="s">
        <v>409</v>
      </c>
      <c r="D66" s="7" t="s">
        <v>476</v>
      </c>
    </row>
    <row r="67" customFormat="false" ht="15" hidden="false" customHeight="false" outlineLevel="0" collapsed="false">
      <c r="A67" s="7" t="s">
        <v>108</v>
      </c>
      <c r="B67" s="7" t="s">
        <v>408</v>
      </c>
      <c r="C67" s="7" t="s">
        <v>409</v>
      </c>
      <c r="D67" s="7" t="s">
        <v>478</v>
      </c>
    </row>
    <row r="68" customFormat="false" ht="15" hidden="false" customHeight="false" outlineLevel="0" collapsed="false">
      <c r="A68" s="7" t="s">
        <v>174</v>
      </c>
      <c r="B68" s="7" t="s">
        <v>464</v>
      </c>
      <c r="C68" s="7" t="s">
        <v>463</v>
      </c>
      <c r="D68" s="7" t="s">
        <v>479</v>
      </c>
    </row>
    <row r="69" customFormat="false" ht="15" hidden="false" customHeight="false" outlineLevel="0" collapsed="false">
      <c r="A69" s="7" t="s">
        <v>188</v>
      </c>
      <c r="B69" s="7" t="s">
        <v>408</v>
      </c>
      <c r="C69" s="7" t="s">
        <v>409</v>
      </c>
      <c r="D69" s="7" t="s">
        <v>480</v>
      </c>
    </row>
    <row r="70" customFormat="false" ht="15" hidden="false" customHeight="false" outlineLevel="0" collapsed="false">
      <c r="A70" s="7" t="s">
        <v>186</v>
      </c>
      <c r="B70" s="7" t="s">
        <v>408</v>
      </c>
      <c r="C70" s="7" t="s">
        <v>409</v>
      </c>
      <c r="D70" s="7" t="s">
        <v>481</v>
      </c>
    </row>
    <row r="71" customFormat="false" ht="15" hidden="false" customHeight="false" outlineLevel="0" collapsed="false">
      <c r="A71" s="7" t="s">
        <v>62</v>
      </c>
      <c r="B71" s="7" t="s">
        <v>408</v>
      </c>
      <c r="C71" s="7" t="s">
        <v>409</v>
      </c>
      <c r="D71" s="7" t="s">
        <v>482</v>
      </c>
    </row>
    <row r="72" customFormat="false" ht="15" hidden="false" customHeight="false" outlineLevel="0" collapsed="false">
      <c r="A72" s="7" t="s">
        <v>7</v>
      </c>
      <c r="B72" s="7" t="s">
        <v>408</v>
      </c>
      <c r="C72" s="7" t="s">
        <v>409</v>
      </c>
      <c r="D72" s="7" t="s">
        <v>483</v>
      </c>
    </row>
    <row r="73" customFormat="false" ht="15" hidden="false" customHeight="false" outlineLevel="0" collapsed="false">
      <c r="A73" s="7" t="s">
        <v>66</v>
      </c>
      <c r="B73" s="7" t="s">
        <v>408</v>
      </c>
      <c r="C73" s="7" t="s">
        <v>409</v>
      </c>
      <c r="D73" s="7" t="s">
        <v>484</v>
      </c>
    </row>
    <row r="74" customFormat="false" ht="15" hidden="false" customHeight="false" outlineLevel="0" collapsed="false">
      <c r="A74" s="7" t="s">
        <v>485</v>
      </c>
      <c r="B74" s="7" t="s">
        <v>408</v>
      </c>
      <c r="C74" s="7" t="s">
        <v>409</v>
      </c>
      <c r="D74" s="7" t="s">
        <v>486</v>
      </c>
    </row>
    <row r="75" customFormat="false" ht="15" hidden="false" customHeight="false" outlineLevel="0" collapsed="false">
      <c r="A75" s="7" t="s">
        <v>208</v>
      </c>
      <c r="B75" s="7" t="s">
        <v>464</v>
      </c>
      <c r="C75" s="7" t="s">
        <v>463</v>
      </c>
      <c r="D75" s="7" t="s">
        <v>487</v>
      </c>
    </row>
    <row r="76" customFormat="false" ht="15" hidden="false" customHeight="false" outlineLevel="0" collapsed="false">
      <c r="A76" s="7" t="s">
        <v>488</v>
      </c>
      <c r="B76" s="7" t="s">
        <v>408</v>
      </c>
      <c r="C76" s="7" t="s">
        <v>409</v>
      </c>
      <c r="D76" s="7" t="s">
        <v>489</v>
      </c>
    </row>
    <row r="77" customFormat="false" ht="15" hidden="false" customHeight="false" outlineLevel="0" collapsed="false">
      <c r="A77" s="7" t="s">
        <v>135</v>
      </c>
      <c r="B77" s="7" t="s">
        <v>408</v>
      </c>
      <c r="C77" s="7" t="s">
        <v>409</v>
      </c>
      <c r="D77" s="7" t="s">
        <v>490</v>
      </c>
    </row>
    <row r="78" customFormat="false" ht="15" hidden="false" customHeight="false" outlineLevel="0" collapsed="false">
      <c r="A78" s="7" t="s">
        <v>110</v>
      </c>
      <c r="B78" s="7" t="s">
        <v>408</v>
      </c>
      <c r="C78" s="7" t="s">
        <v>409</v>
      </c>
      <c r="D78" s="7" t="s">
        <v>491</v>
      </c>
    </row>
    <row r="79" customFormat="false" ht="15" hidden="false" customHeight="false" outlineLevel="0" collapsed="false">
      <c r="A79" s="7" t="s">
        <v>34</v>
      </c>
      <c r="B79" s="7" t="s">
        <v>408</v>
      </c>
      <c r="C79" s="7" t="s">
        <v>409</v>
      </c>
      <c r="D79" s="7" t="s">
        <v>492</v>
      </c>
    </row>
    <row r="80" customFormat="false" ht="15" hidden="false" customHeight="false" outlineLevel="0" collapsed="false">
      <c r="A80" s="7" t="s">
        <v>10</v>
      </c>
      <c r="B80" s="7" t="s">
        <v>408</v>
      </c>
      <c r="C80" s="7" t="s">
        <v>409</v>
      </c>
      <c r="D80" s="7" t="s">
        <v>493</v>
      </c>
    </row>
    <row r="81" customFormat="false" ht="15" hidden="false" customHeight="false" outlineLevel="0" collapsed="false">
      <c r="A81" s="7" t="s">
        <v>5</v>
      </c>
      <c r="B81" s="7" t="s">
        <v>408</v>
      </c>
      <c r="C81" s="7" t="s">
        <v>409</v>
      </c>
      <c r="D81" s="7" t="s">
        <v>494</v>
      </c>
    </row>
    <row r="82" customFormat="false" ht="15" hidden="false" customHeight="false" outlineLevel="0" collapsed="false">
      <c r="A82" s="7" t="s">
        <v>495</v>
      </c>
      <c r="B82" s="7" t="s">
        <v>496</v>
      </c>
      <c r="C82" s="7" t="s">
        <v>497</v>
      </c>
      <c r="D82" s="7" t="s">
        <v>498</v>
      </c>
    </row>
    <row r="83" customFormat="false" ht="15" hidden="false" customHeight="false" outlineLevel="0" collapsed="false">
      <c r="A83" s="7" t="s">
        <v>170</v>
      </c>
      <c r="B83" s="7" t="s">
        <v>408</v>
      </c>
      <c r="C83" s="7" t="s">
        <v>409</v>
      </c>
      <c r="D83" s="7" t="s">
        <v>499</v>
      </c>
    </row>
  </sheetData>
  <autoFilter ref="A1:D83">
    <sortState ref="A2:D83">
      <sortCondition ref="A2:A83" customList=""/>
    </sortState>
  </autoFilter>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 sqmid="ca81bd32-3655-46ef-b548-b26a564fa8d5">AAAAABgEAABQSwMEFAACAAgAG5uOWT4X1jCmAAAA+QAAABIAHABDb25maWcvUGFja2FnZS54bWwgohgAKKAUAAAAAAAAAAAAAAAAAAAAAAAAAAAAhY/NCoJAGEVfRWbv/JhFyOdItE2Igmg7jJMO6RjO2PhuLXqkXiGhDHct7+Eszn09npANTR3cVWd1a1LEMEWBMrIttClT1LtLuEYZh72QV1GqYJSNTQZbpKhy7pYQ4r3HfoHbriQRpYyc891RVqoR6Cfr/3KojXXCSIU4nD4xPMJRjGO6WmIWUwZk4pBrM3PGZEyBzCBs+9r1neLKhpsDkGkC+d7gb1BLAwQUAAIACAAbm45Z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G5uOWdAVf1QQAQAA+AIAABMAHABGb3JtdWxhcy9TZWN0aW9uMS5tIKIYACigFAAAAAAAAAAAAAAAAAAAAAAAAAAAAO2QQUvEMBCF74X+h5C9tFAKW/Di0lO74kVcsJ6sSJrO7gabTEnSgpb+d0eK1oN79GYOmeSRmfflOZBeoWEPS93uwiAM3FlYaFmLnbAvGnqWsw58GDBa91adwJBSuDEtUQ4ajI9uVAdpgcbTxUW8uK4fHVhH+yCswroE9+qxr1vh0dW9Bamofhuk0o08Tp5K6JRWHmzOdzzZG4mtMqd8m11lz3GyAGw46aKBd9GiY71FjaOiIyemSjTEcfjUPNyCaIkhWojX9kr1yKTQjaIJa1dlhXFHtLrAbtCmeuvBRRfNkmniR5BnwRPm6Smjn8GcsInf7Q9fmhl0A3ae4zBQ5nf7n3lv+Jp4lMX8P/a/i/0DUEsBAi0AFAACAAgAG5uOWT4X1jCmAAAA+QAAABIAAAAAAAAAAAAAAAAAAAAAAENvbmZpZy9QYWNrYWdlLnhtbFBLAQItABQAAgAIABubjlkPyumrpAAAAOkAAAATAAAAAAAAAAAAAAAAAPIAAABbQ29udGVudF9UeXBlc10ueG1sUEsBAi0AFAACAAgAG5uOWdAVf1QQAQAA+AIAABMAAAAAAAAAAAAAAAAA4wEAAEZvcm11bGFzL1NlY3Rpb24xLm1QSwUGAAAAAAMAAwDCAAAAQAMAAAAANAEAAO+7vzw/eG1sIHZlcnNpb249IjEuMCIgZW5jb2Rpbmc9InV0Zi04Ij8+PFBlcm1pc3Npb25MaXN0IHhtbG5zOnhzZD0iaHR0cDovL3d3dy53My5vcmcvMjAwMS9YTUxTY2hlbWEiIHhtbG5zOnhzaT0iaHR0cDovL3d3dy53My5vcmcvMjAwMS9YTUxTY2hlbWEtaW5zdGFuY2UiPjxDYW5FdmFsdWF0ZUZ1dHVyZVBhY2thZ2VzPmZhbHNlPC9DYW5FdmFsdWF0ZUZ1dHVyZVBhY2thZ2VzPjxGaXJld2FsbEVuYWJsZWQ+dHJ1ZTwvRmlyZXdhbGxFbmFibGVkPjxXb3JrYm9va0dyb3VwVHlwZSB4c2k6bmlsPSJ0cnVlIiAvPjwvUGVybWlzc2lvbkxpc3Q+AREAAAAAAADfEAAA77u/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PEl0ZW1QYXRoIC8+PC9JdGVtTG9jYXRpb24+PFN0YWJsZUVudHJpZXMgLz48L0l0ZW0+PEl0ZW0+PEl0ZW1Mb2NhdGlvbj48SXRlbVR5cGU+Rm9ybXVsYTwvSXRlbVR5cGU+PEl0ZW1QYXRoPlNlY3Rpb24xL2RvbGFyX21lcDwvSXRlbVBhdGg+PC9JdGVtTG9jYXRpb24+PFN0YWJsZUVudHJpZXM+PEVudHJ5IFR5cGU9IklzUHJpdmF0ZSIgVmFsdWU9ImwwIiAvPjxFbnRyeSBUeXBlPSJSZXN1bHRUeXBlIiBWYWx1ZT0ic1RhYmxlIiAvPjxFbnRyeSBUeXBlPSJGaWxsRW5hYmxlZCIgVmFsdWU9ImwwIiAvPjxFbnRyeSBUeXBlPSJGaWxsVG9EYXRhTW9kZWxFbmFibGVkIiBWYWx1ZT0ibDAiIC8+PEVudHJ5IFR5cGU9IlJlbGF0aW9uc2hpcEluZm9Db250YWluZXIiIFZhbHVlPSJzeyZxdW90O2NvbHVtbkNvdW50JnF1b3Q7OjIsJnF1b3Q7a2V5Q29sdW1uTmFtZXMmcXVvdDs6W10sJnF1b3Q7cXVlcnlSZWxhdGlvbnNoaXBzJnF1b3Q7OltdLCZxdW90O2NvbHVtbklkZW50aXRpZXMmcXVvdDs6WyZxdW90O1NlY3Rpb24xL2RvbGFyX21lcC9UaXBvIGNhbWJpYWRvLntmZWNoYSwwfSZxdW90OywmcXVvdDtTZWN0aW9uMS9kb2xhcl9tZXAvVGlwbyBjYW1iaWFkby57TUVQLDF9JnF1b3Q7XSwmcXVvdDtDb2x1bW5Db3VudCZxdW90OzoyLCZxdW90O0tleUNvbHVtbk5hbWVzJnF1b3Q7OltdLCZxdW90O0NvbHVtbklkZW50aXRpZXMmcXVvdDs6WyZxdW90O1NlY3Rpb24xL2RvbGFyX21lcC9UaXBvIGNhbWJpYWRvLntmZWNoYSwwfSZxdW90OywmcXVvdDtTZWN0aW9uMS9kb2xhcl9tZXAvVGlwbyBjYW1iaWFkby57TUVQLDF9JnF1b3Q7XSwmcXVvdDtSZWxhdGlvbnNoaXBJbmZvJnF1b3Q7OltdfSIgLz48RW50cnkgVHlwZT0iRmlsbExhc3RVcGRhdGVkIiBWYWx1ZT0iZDIwMjQtMTItMTRUMjI6MjE6NTIuOTY2MjQ5NFoiIC8+PEVudHJ5IFR5cGU9IkZpbGxFcnJvckNvZGUiIFZhbHVlPSJzVW5rbm93biIgLz48RW50cnkgVHlwZT0iRmlsbENvbHVtbk5hbWVzIiBWYWx1ZT0ic1smcXVvdDtmZWNoYSZxdW90OywmcXVvdDtNRVAmcXVvdDtdIiAvPjxFbnRyeSBUeXBlPSJGaWxsQ29sdW1uVHlwZXMiIFZhbHVlPSJzQ1FVPSIgLz48RW50cnkgVHlwZT0iRmlsbEVycm9yQ291bnQiIFZhbHVlPSJsMCIgLz48RW50cnkgVHlwZT0iRmlsbENvdW50IiBWYWx1ZT0ibDQ2NiIgLz48RW50cnkgVHlwZT0iRmlsbFN0YXR1cyIgVmFsdWU9InNDb21wbGV0ZSIgLz48RW50cnkgVHlwZT0iRmlsbGVkQ29tcGxldGVSZXN1bHRUb1dvcmtzaGVldCIgVmFsdWU9ImwxIiAvPjxFbnRyeSBUeXBlPSJBZGRlZFRvRGF0YU1vZGVsIiBWYWx1ZT0ibDAiIC8+PEVudHJ5IFR5cGU9IlJlY292ZXJ5VGFyZ2V0U2hlZXQiIFZhbHVlPSJzSG9qYTIiIC8+PEVudHJ5IFR5cGU9IlJlY292ZXJ5VGFyZ2V0Q29sdW1uIiBWYWx1ZT0ibDEiIC8+PEVudHJ5IFR5cGU9IlJlY292ZXJ5VGFyZ2V0Um93IiBWYWx1ZT0ibDEiIC8+PEVudHJ5IFR5cGU9Ik5hbWVVcGRhdGVkQWZ0ZXJGaWxsIiBWYWx1ZT0ibDAiIC8+PEVudHJ5IFR5cGU9IkJ1ZmZlck5leHRSZWZyZXNoIiBWYWx1ZT0ibDEiIC8+PEVudHJ5IFR5cGU9IlF1ZXJ5SUQiIFZhbHVlPSJzNzk2NWQwZjgtYTkzYS00MmQyLTk1NjUtOTkyMTAxZWU1MmVjIiAvPjwvU3RhYmxlRW50cmllcz48L0l0ZW0+PEl0ZW0+PEl0ZW1Mb2NhdGlvbj48SXRlbVR5cGU+Rm9ybXVsYTwvSXRlbVR5cGU+PEl0ZW1QYXRoPlNlY3Rpb24xL2RvbGFyX21lcC9PcmlnZW48L0l0ZW1QYXRoPjwvSXRlbUxvY2F0aW9uPjxTdGFibGVFbnRyaWVzIC8+PC9JdGVtPjxJdGVtPjxJdGVtTG9jYXRpb24+PEl0ZW1UeXBlPkZvcm11bGE8L0l0ZW1UeXBlPjxJdGVtUGF0aD5TZWN0aW9uMS9kb2xhcl9tZXAvRW5jYWJlemFkb3MlMjBwcm9tb3ZpZG9zPC9JdGVtUGF0aD48L0l0ZW1Mb2NhdGlvbj48U3RhYmxlRW50cmllcyAvPjwvSXRlbT48SXRlbT48SXRlbUxvY2F0aW9uPjxJdGVtVHlwZT5Gb3JtdWxhPC9JdGVtVHlwZT48SXRlbVBhdGg+U2VjdGlvbjEvZG9sYXJfbWVwL1RpcG8lMjBjYW1iaWFkbzwvSXRlbVBhdGg+PC9JdGVtTG9jYXRpb24+PFN0YWJsZUVudHJpZXMgLz48L0l0ZW0+PEl0ZW0+PEl0ZW1Mb2NhdGlvbj48SXRlbVR5cGU+Rm9ybXVsYTwvSXRlbVR5cGU+PEl0ZW1QYXRoPlNlY3Rpb24xL2RvbGFyX21lcCUyMCgyKTwvSXRlbVBhdGg+PC9JdGVtTG9jYXRpb24+PFN0YWJsZUVudHJpZXM+PEVudHJ5IFR5cGU9IklzUHJpdmF0ZSIgVmFsdWU9ImwwIiAvPjxFbnRyeSBUeXBlPSJSZXN1bHRUeXBlIiBWYWx1ZT0ic1RhYmxlIiAvPjxFbnRyeSBUeXBlPSJGaWxsRW5hYmxlZCIgVmFsdWU9ImwwIiAvPjxFbnRyeSBUeXBlPSJGaWxsVG9EYXRhTW9kZWxFbmFibGVkIiBWYWx1ZT0ibDAiIC8+PEVudHJ5IFR5cGU9IkZpbGxTdGF0dXMiIFZhbHVlPSJzQ29tcGxldGUiIC8+PEVudHJ5IFR5cGU9IkZpbGxDb3VudCIgVmFsdWU9Imw0NjYiIC8+PEVudHJ5IFR5cGU9IkZpbGxFcnJvckNvdW50IiBWYWx1ZT0ibDAiIC8+PEVudHJ5IFR5cGU9IkZpbGxDb2x1bW5UeXBlcyIgVmFsdWU9InNDUVU9IiAvPjxFbnRyeSBUeXBlPSJGaWxsQ29sdW1uTmFtZXMiIFZhbHVlPSJzWyZxdW90O2ZlY2hhJnF1b3Q7LCZxdW90O01FUCZxdW90O10iIC8+PEVudHJ5IFR5cGU9IkZpbGxFcnJvckNvZGUiIFZhbHVlPSJzVW5rbm93biIgLz48RW50cnkgVHlwZT0iRmlsbExhc3RVcGRhdGVkIiBWYWx1ZT0iZDIwMjQtMTItMTRUMjI6MjM6NTYuODQ1MzIxMFoiIC8+PEVudHJ5IFR5cGU9IkZpbGxlZENvbXBsZXRlUmVzdWx0VG9Xb3Jrc2hlZXQiIFZhbHVlPSJsMSIgLz48RW50cnkgVHlwZT0iQWRkZWRUb0RhdGFNb2RlbCIgVmFsdWU9ImwwIiAvPjxFbnRyeSBUeXBlPSJSZWNvdmVyeVRhcmdldFNoZWV0IiBWYWx1ZT0ic0hvamE0IiAvPjxFbnRyeSBUeXBlPSJSZWNvdmVyeVRhcmdldENvbHVtbiIgVmFsdWU9ImwxIiAvPjxFbnRyeSBUeXBlPSJSZWNvdmVyeVRhcmdldFJvdyIgVmFsdWU9ImwxIiAvPjxFbnRyeSBUeXBlPSJOYW1lVXBkYXRlZEFmdGVyRmlsbCIgVmFsdWU9ImwwIiAvPjxFbnRyeSBUeXBlPSJSZWxhdGlvbnNoaXBJbmZvQ29udGFpbmVyIiBWYWx1ZT0ic3smcXVvdDtjb2x1bW5Db3VudCZxdW90OzoyLCZxdW90O2tleUNvbHVtbk5hbWVzJnF1b3Q7OltdLCZxdW90O3F1ZXJ5UmVsYXRpb25zaGlwcyZxdW90OzpbXSwmcXVvdDtjb2x1bW5JZGVudGl0aWVzJnF1b3Q7OlsmcXVvdDtTZWN0aW9uMS9kb2xhcl9tZXAgKDIpL1RpcG8gY2FtYmlhZG8ue2ZlY2hhLDB9JnF1b3Q7LCZxdW90O1NlY3Rpb24xL2RvbGFyX21lcCAoMikvVGlwbyBjYW1iaWFkby57TUVQLDF9JnF1b3Q7XSwmcXVvdDtDb2x1bW5Db3VudCZxdW90OzoyLCZxdW90O0tleUNvbHVtbk5hbWVzJnF1b3Q7OltdLCZxdW90O0NvbHVtbklkZW50aXRpZXMmcXVvdDs6WyZxdW90O1NlY3Rpb24xL2RvbGFyX21lcCAoMikvVGlwbyBjYW1iaWFkby57ZmVjaGEsMH0mcXVvdDssJnF1b3Q7U2VjdGlvbjEvZG9sYXJfbWVwICgyKS9UaXBvIGNhbWJpYWRvLntNRVAsMX0mcXVvdDtdLCZxdW90O1JlbGF0aW9uc2hpcEluZm8mcXVvdDs6W119IiAvPjxFbnRyeSBUeXBlPSJCdWZmZXJOZXh0UmVmcmVzaCIgVmFsdWU9ImwxIiAvPjwvU3RhYmxlRW50cmllcz48L0l0ZW0+PEl0ZW0+PEl0ZW1Mb2NhdGlvbj48SXRlbVR5cGU+Rm9ybXVsYTwvSXRlbVR5cGU+PEl0ZW1QYXRoPlNlY3Rpb24xL2RvbGFyX21lcCUyMCgyKS9PcmlnZW48L0l0ZW1QYXRoPjwvSXRlbUxvY2F0aW9uPjxTdGFibGVFbnRyaWVzIC8+PC9JdGVtPjxJdGVtPjxJdGVtTG9jYXRpb24+PEl0ZW1UeXBlPkZvcm11bGE8L0l0ZW1UeXBlPjxJdGVtUGF0aD5TZWN0aW9uMS9kb2xhcl9tZXAlMjAoMikvRW5jYWJlemFkb3MlMjBwcm9tb3ZpZG9zPC9JdGVtUGF0aD48L0l0ZW1Mb2NhdGlvbj48U3RhYmxlRW50cmllcyAvPjwvSXRlbT48SXRlbT48SXRlbUxvY2F0aW9uPjxJdGVtVHlwZT5Gb3JtdWxhPC9JdGVtVHlwZT48SXRlbVBhdGg+U2VjdGlvbjEvZG9sYXJfbWVwJTIwKDIpL1RpcG8lMjBjYW1iaWFkbzwvSXRlbVBhdGg+PC9JdGVtTG9jYXRpb24+PFN0YWJsZUVudHJpZXMgLz48L0l0ZW0+PC9JdGVtcz48L0xvY2FsUGFja2FnZU1ldGFkYXRhRmlsZT4WAAAAUEsFBgAAAAAAAAAAAAAAAAAAAAAAACYBAAABAAAA0Iyd3wEV0RGMegDAT8KX6wEAAACsB3pln9WNRabt5ajSAfBDAAAAAAIAAAAAABBmAAAAAQAAIAAAADkPVCl4FXbgszD0zuSVsc3/HanPb39/E4AY5bHnGtICAAAAAA6AAAAAAgAAIAAAAFP2SycXCuLlI800zKRJudlKHqlApTs8l4Tc7Nw2T2kWUAAAALvyLoEMslSVr2TYYjZtUzWWTPNGvuyLhbhCYSTaYuIaUm4H3YTGW8Yi/vuSXXrbSqhTDOZfRVPZ15C1ff2G5ttzN0C1EbGkqap3NQoNaiG2QAAAABAq6gYx36VIAEuHivp+JpGNB87MwgO4gDS7//EZd3fBAuZcmmeHryftSSEIxHdXr2GYvLhvsPjjd3xLhDCvWgU=</DataMashup>
</file>

<file path=customXml/itemProps1.xml><?xml version="1.0" encoding="utf-8"?>
<ds:datastoreItem xmlns:ds="http://schemas.openxmlformats.org/officeDocument/2006/customXml" ds:itemID="{3A03D8AC-D91C-46BC-BFA3-B4ED109C254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2461</TotalTime>
  <Application>LibreOffice/25.2.2.2$Windows_X86_64 LibreOffice_project/7370d4be9e3cf6031a51beef54ff3bda878e3fac</Application>
  <AppVersion>15.0000</AppVersion>
  <Company>PC</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2016-06-27T21:58:22Z</dcterms:created>
  <dc:creator>PC</dc:creator>
  <dc:description/>
  <dc:language>es-AR</dc:language>
  <cp:lastModifiedBy/>
  <dcterms:modified xsi:type="dcterms:W3CDTF">2026-10-08T11:46:56Z</dcterms:modified>
  <cp:revision>185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yperlinksChanged">
    <vt:bool>0</vt:bool>
  </property>
  <property fmtid="{D5CDD505-2E9C-101B-9397-08002B2CF9AE}" pid="3" name="LinksUpToDate">
    <vt:bool>0</vt:bool>
  </property>
  <property fmtid="{D5CDD505-2E9C-101B-9397-08002B2CF9AE}" pid="4" name="ScaleCrop">
    <vt:bool>0</vt:bool>
  </property>
  <property fmtid="{D5CDD505-2E9C-101B-9397-08002B2CF9AE}" pid="5" name="ShareDoc">
    <vt:bool>0</vt:bool>
  </property>
</Properties>
</file>